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ipc\Desktop\20260519 html_page\sources\"/>
    </mc:Choice>
  </mc:AlternateContent>
  <xr:revisionPtr revIDLastSave="0" documentId="13_ncr:1_{39D7F811-B9BF-4BA5-B6B4-A17118B4AB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空调报价表" sheetId="3" r:id="rId1"/>
    <sheet name="设备参数表" sheetId="5" r:id="rId2"/>
  </sheets>
  <functionGroups builtInGroupCount="19"/>
  <definedNames>
    <definedName name="__xleta.FV" hidden="1" xlm="1">#NAME?</definedName>
    <definedName name="__xleta.MIN" hidden="1" xlm="1">#NAME?</definedName>
    <definedName name="__xleta.ROUNDUP" hidden="1" xlm="1">#NAME?</definedName>
    <definedName name="__xleta.SUM" hidden="1" xlm="1">#NAME?</definedName>
    <definedName name="_xlnm._FilterDatabase" localSheetId="1" hidden="1">设备参数表!$L$199:$L$216</definedName>
    <definedName name="_xlnm.Print_Area" localSheetId="0">空调报价表!$A$8:$K$107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6" i="3" l="1"/>
  <c r="I97" i="3"/>
  <c r="I98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79" i="3"/>
  <c r="I75" i="3"/>
  <c r="I74" i="3"/>
  <c r="I73" i="3"/>
  <c r="I72" i="3"/>
  <c r="N16" i="3" l="1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I1" i="3"/>
  <c r="G14" i="3" l="1"/>
  <c r="N15" i="3"/>
  <c r="N14" i="3"/>
  <c r="O263" i="5"/>
  <c r="O262" i="5"/>
  <c r="O261" i="5"/>
  <c r="O260" i="5"/>
  <c r="O259" i="5"/>
  <c r="O258" i="5"/>
  <c r="O257" i="5"/>
  <c r="O256" i="5"/>
  <c r="O255" i="5"/>
  <c r="O254" i="5"/>
  <c r="K39" i="3"/>
  <c r="I39" i="3"/>
  <c r="F39" i="3"/>
  <c r="D65" i="3"/>
  <c r="I65" i="3" s="1"/>
  <c r="D64" i="3"/>
  <c r="H64" i="3" s="1"/>
  <c r="D63" i="3"/>
  <c r="I63" i="3" s="1"/>
  <c r="D62" i="3"/>
  <c r="I62" i="3" s="1"/>
  <c r="D61" i="3"/>
  <c r="H61" i="3" s="1"/>
  <c r="D60" i="3"/>
  <c r="I60" i="3" s="1"/>
  <c r="D66" i="3"/>
  <c r="I66" i="3" s="1"/>
  <c r="D59" i="3"/>
  <c r="I59" i="3" s="1"/>
  <c r="D58" i="3"/>
  <c r="I58" i="3" s="1"/>
  <c r="D57" i="3"/>
  <c r="I57" i="3" s="1"/>
  <c r="D56" i="3"/>
  <c r="H56" i="3" s="1"/>
  <c r="D55" i="3"/>
  <c r="I55" i="3" s="1"/>
  <c r="D54" i="3"/>
  <c r="I54" i="3" s="1"/>
  <c r="D53" i="3"/>
  <c r="I53" i="3" s="1"/>
  <c r="D52" i="3"/>
  <c r="H52" i="3" s="1"/>
  <c r="D51" i="3"/>
  <c r="I51" i="3" s="1"/>
  <c r="D50" i="3"/>
  <c r="I50" i="3" s="1"/>
  <c r="D49" i="3"/>
  <c r="I49" i="3" s="1"/>
  <c r="D46" i="3"/>
  <c r="K40" i="3"/>
  <c r="M32" i="3"/>
  <c r="M31" i="3"/>
  <c r="H32" i="3"/>
  <c r="G32" i="3"/>
  <c r="F32" i="3"/>
  <c r="H31" i="3"/>
  <c r="G31" i="3"/>
  <c r="F31" i="3"/>
  <c r="M25" i="3"/>
  <c r="M26" i="3"/>
  <c r="M27" i="3"/>
  <c r="M28" i="3"/>
  <c r="M29" i="3"/>
  <c r="M30" i="3"/>
  <c r="M33" i="3"/>
  <c r="L48" i="3" a="1"/>
  <c r="L43" i="3" a="1"/>
  <c r="L48" i="3" l="1"/>
  <c r="L43" i="3"/>
  <c r="H63" i="3"/>
  <c r="J63" i="3" s="1"/>
  <c r="I61" i="3"/>
  <c r="J61" i="3" s="1"/>
  <c r="I64" i="3"/>
  <c r="J64" i="3" s="1"/>
  <c r="H65" i="3"/>
  <c r="J65" i="3" s="1"/>
  <c r="H62" i="3"/>
  <c r="J62" i="3" s="1"/>
  <c r="H60" i="3"/>
  <c r="J60" i="3" s="1"/>
  <c r="H55" i="3"/>
  <c r="J55" i="3" s="1"/>
  <c r="H51" i="3"/>
  <c r="J51" i="3" s="1"/>
  <c r="H59" i="3"/>
  <c r="J59" i="3" s="1"/>
  <c r="H49" i="3"/>
  <c r="J49" i="3" s="1"/>
  <c r="H53" i="3"/>
  <c r="J53" i="3" s="1"/>
  <c r="H57" i="3"/>
  <c r="J57" i="3" s="1"/>
  <c r="H50" i="3"/>
  <c r="J50" i="3" s="1"/>
  <c r="H54" i="3"/>
  <c r="J54" i="3" s="1"/>
  <c r="H58" i="3"/>
  <c r="J58" i="3" s="1"/>
  <c r="H66" i="3"/>
  <c r="J66" i="3" s="1"/>
  <c r="I52" i="3"/>
  <c r="J52" i="3" s="1"/>
  <c r="I56" i="3"/>
  <c r="J56" i="3" s="1"/>
  <c r="I46" i="3"/>
  <c r="F40" i="3"/>
  <c r="I40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3" i="3"/>
  <c r="G33" i="3"/>
  <c r="H33" i="3"/>
  <c r="M24" i="3"/>
  <c r="H24" i="3"/>
  <c r="G24" i="3"/>
  <c r="F24" i="3"/>
  <c r="M23" i="3"/>
  <c r="H23" i="3"/>
  <c r="G23" i="3"/>
  <c r="F23" i="3"/>
  <c r="M22" i="3"/>
  <c r="H22" i="3"/>
  <c r="G22" i="3"/>
  <c r="F22" i="3"/>
  <c r="M21" i="3"/>
  <c r="H21" i="3"/>
  <c r="G21" i="3"/>
  <c r="F21" i="3"/>
  <c r="M20" i="3"/>
  <c r="H20" i="3"/>
  <c r="G20" i="3"/>
  <c r="F20" i="3"/>
  <c r="M19" i="3"/>
  <c r="H19" i="3"/>
  <c r="G19" i="3"/>
  <c r="F19" i="3"/>
  <c r="M18" i="3"/>
  <c r="H18" i="3"/>
  <c r="G18" i="3"/>
  <c r="F18" i="3"/>
  <c r="M17" i="3"/>
  <c r="H17" i="3"/>
  <c r="G17" i="3"/>
  <c r="F17" i="3"/>
  <c r="D67" i="3"/>
  <c r="I67" i="3" s="1"/>
  <c r="I68" i="3"/>
  <c r="M15" i="3"/>
  <c r="M16" i="3"/>
  <c r="M14" i="3"/>
  <c r="K1" i="3"/>
  <c r="E32" i="3" s="1"/>
  <c r="J32" i="3" s="1"/>
  <c r="I32" i="3" s="1"/>
  <c r="K2" i="3"/>
  <c r="H15" i="3"/>
  <c r="H16" i="3"/>
  <c r="H14" i="3"/>
  <c r="G15" i="3"/>
  <c r="G16" i="3"/>
  <c r="F15" i="3"/>
  <c r="F16" i="3"/>
  <c r="F14" i="3"/>
  <c r="J75" i="3"/>
  <c r="H72" i="3"/>
  <c r="J72" i="3" s="1"/>
  <c r="D45" i="3" l="1"/>
  <c r="I45" i="3" s="1"/>
  <c r="D47" i="3"/>
  <c r="I47" i="3" s="1"/>
  <c r="D43" i="3"/>
  <c r="D44" i="3"/>
  <c r="D48" i="3"/>
  <c r="I48" i="3" s="1"/>
  <c r="E21" i="3"/>
  <c r="J21" i="3" s="1"/>
  <c r="I21" i="3" s="1"/>
  <c r="E17" i="3"/>
  <c r="J17" i="3" s="1"/>
  <c r="E18" i="3"/>
  <c r="J18" i="3" s="1"/>
  <c r="E22" i="3"/>
  <c r="J22" i="3" s="1"/>
  <c r="E31" i="3"/>
  <c r="J31" i="3" s="1"/>
  <c r="I31" i="3" s="1"/>
  <c r="E14" i="3"/>
  <c r="J14" i="3" s="1"/>
  <c r="E30" i="3"/>
  <c r="J30" i="3" s="1"/>
  <c r="I30" i="3" s="1"/>
  <c r="E27" i="3"/>
  <c r="J27" i="3" s="1"/>
  <c r="I27" i="3" s="1"/>
  <c r="E28" i="3"/>
  <c r="J28" i="3" s="1"/>
  <c r="I28" i="3" s="1"/>
  <c r="E26" i="3"/>
  <c r="J26" i="3" s="1"/>
  <c r="I26" i="3" s="1"/>
  <c r="E29" i="3"/>
  <c r="J29" i="3" s="1"/>
  <c r="I29" i="3" s="1"/>
  <c r="E16" i="3"/>
  <c r="J16" i="3" s="1"/>
  <c r="E19" i="3"/>
  <c r="J19" i="3" s="1"/>
  <c r="I19" i="3" s="1"/>
  <c r="E23" i="3"/>
  <c r="J23" i="3" s="1"/>
  <c r="E15" i="3"/>
  <c r="J15" i="3" s="1"/>
  <c r="E33" i="3"/>
  <c r="J33" i="3" s="1"/>
  <c r="I33" i="3" s="1"/>
  <c r="E20" i="3"/>
  <c r="J20" i="3" s="1"/>
  <c r="I20" i="3" s="1"/>
  <c r="E24" i="3"/>
  <c r="J24" i="3" s="1"/>
  <c r="E25" i="3"/>
  <c r="J25" i="3" s="1"/>
  <c r="F36" i="3"/>
  <c r="K38" i="3"/>
  <c r="K37" i="3"/>
  <c r="K36" i="3"/>
  <c r="I36" i="3"/>
  <c r="H46" i="3" l="1"/>
  <c r="J46" i="3" s="1"/>
  <c r="G39" i="3"/>
  <c r="H39" i="3" s="1"/>
  <c r="G38" i="3"/>
  <c r="G36" i="3"/>
  <c r="H36" i="3" s="1"/>
  <c r="H67" i="3"/>
  <c r="J67" i="3" s="1"/>
  <c r="G40" i="3"/>
  <c r="H40" i="3" s="1"/>
  <c r="G37" i="3"/>
  <c r="I44" i="3"/>
  <c r="H44" i="3"/>
  <c r="H45" i="3"/>
  <c r="J45" i="3" s="1"/>
  <c r="H47" i="3"/>
  <c r="J47" i="3" s="1"/>
  <c r="I25" i="3"/>
  <c r="I23" i="3"/>
  <c r="I24" i="3"/>
  <c r="I22" i="3"/>
  <c r="I37" i="3"/>
  <c r="F37" i="3"/>
  <c r="I38" i="3"/>
  <c r="F38" i="3"/>
  <c r="I15" i="3"/>
  <c r="I16" i="3"/>
  <c r="I17" i="3"/>
  <c r="I18" i="3"/>
  <c r="H48" i="3"/>
  <c r="J48" i="3" s="1"/>
  <c r="I14" i="3"/>
  <c r="I43" i="3"/>
  <c r="H43" i="3"/>
  <c r="H68" i="3"/>
  <c r="G79" i="3"/>
  <c r="G86" i="3" l="1"/>
  <c r="I86" i="3" s="1"/>
  <c r="I79" i="3"/>
  <c r="J44" i="3"/>
  <c r="G84" i="3"/>
  <c r="G80" i="3"/>
  <c r="G82" i="3"/>
  <c r="H37" i="3"/>
  <c r="H38" i="3"/>
  <c r="G83" i="3"/>
  <c r="G81" i="3"/>
  <c r="G85" i="3"/>
  <c r="H73" i="3"/>
  <c r="G95" i="3" s="1"/>
  <c r="I95" i="3" s="1"/>
  <c r="J68" i="3"/>
  <c r="J43" i="3"/>
  <c r="G88" i="3" l="1"/>
  <c r="I88" i="3" s="1"/>
  <c r="I81" i="3"/>
  <c r="G89" i="3"/>
  <c r="I89" i="3" s="1"/>
  <c r="I82" i="3"/>
  <c r="G92" i="3"/>
  <c r="I92" i="3" s="1"/>
  <c r="I85" i="3"/>
  <c r="G87" i="3"/>
  <c r="I87" i="3" s="1"/>
  <c r="I80" i="3"/>
  <c r="G90" i="3"/>
  <c r="I90" i="3" s="1"/>
  <c r="I83" i="3"/>
  <c r="G91" i="3"/>
  <c r="I91" i="3" s="1"/>
  <c r="I84" i="3"/>
  <c r="J69" i="3"/>
  <c r="G3" i="3" s="1"/>
  <c r="J73" i="3"/>
  <c r="H74" i="3"/>
  <c r="J74" i="3" s="1"/>
  <c r="G93" i="3"/>
  <c r="G94" i="3" l="1"/>
  <c r="I94" i="3" s="1"/>
  <c r="I93" i="3"/>
  <c r="C3" i="3"/>
  <c r="J76" i="3"/>
  <c r="I99" i="3" l="1"/>
  <c r="C4" i="3" s="1"/>
  <c r="I101" i="3"/>
  <c r="G4" i="3"/>
  <c r="G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<sst xmlns="http://schemas.openxmlformats.org/spreadsheetml/2006/main" count="1878" uniqueCount="552">
  <si>
    <t>松下中央空调系统方案</t>
    <phoneticPr fontId="2" type="noConversion"/>
  </si>
  <si>
    <t xml:space="preserve">项目名称 ：                                                                </t>
    <phoneticPr fontId="2" type="noConversion"/>
  </si>
  <si>
    <t>设计日期：</t>
    <phoneticPr fontId="2" type="noConversion"/>
  </si>
  <si>
    <t>设计：</t>
    <phoneticPr fontId="2" type="noConversion"/>
  </si>
  <si>
    <t>一、空调设备内机配置详表</t>
    <phoneticPr fontId="2" type="noConversion"/>
  </si>
  <si>
    <t>楼层</t>
  </si>
  <si>
    <t>区域</t>
  </si>
  <si>
    <t>型号</t>
  </si>
  <si>
    <t>台数</t>
    <phoneticPr fontId="2" type="noConversion"/>
  </si>
  <si>
    <t>室内机尺寸</t>
  </si>
  <si>
    <t>总制冷量</t>
    <phoneticPr fontId="2" type="noConversion"/>
  </si>
  <si>
    <t>室外机配置</t>
  </si>
  <si>
    <t>W</t>
    <phoneticPr fontId="2" type="noConversion"/>
  </si>
  <si>
    <t>（型号）</t>
  </si>
  <si>
    <t>二、空调设备外机配置详表</t>
    <phoneticPr fontId="2" type="noConversion"/>
  </si>
  <si>
    <t>序号</t>
  </si>
  <si>
    <t>制冷量</t>
  </si>
  <si>
    <t>冷负荷</t>
    <phoneticPr fontId="2" type="noConversion"/>
  </si>
  <si>
    <t>室外机尺寸</t>
  </si>
  <si>
    <t>备注</t>
  </si>
  <si>
    <t>室外机型号</t>
    <phoneticPr fontId="2" type="noConversion"/>
  </si>
  <si>
    <t>三、空调设备部分报价表</t>
    <phoneticPr fontId="2" type="noConversion"/>
  </si>
  <si>
    <t>名称</t>
  </si>
  <si>
    <t>设备型号</t>
  </si>
  <si>
    <t>单位</t>
  </si>
  <si>
    <t>数量</t>
  </si>
  <si>
    <t>单价</t>
  </si>
  <si>
    <t>小计</t>
  </si>
  <si>
    <t>一级全直流变频室外机</t>
  </si>
  <si>
    <t>台</t>
  </si>
  <si>
    <t>健康全直流超薄风管室内机</t>
    <phoneticPr fontId="2" type="noConversion"/>
  </si>
  <si>
    <t>86型液晶线控器</t>
  </si>
  <si>
    <t>个</t>
  </si>
  <si>
    <t>四、运输、安装人工费</t>
  </si>
  <si>
    <t>项目名称</t>
  </si>
  <si>
    <t>室外机安装费</t>
  </si>
  <si>
    <t>安装及调试费</t>
  </si>
  <si>
    <t>室内机安装费</t>
  </si>
  <si>
    <t>打孔费</t>
  </si>
  <si>
    <t>空调过梁过墙孔</t>
    <phoneticPr fontId="2" type="noConversion"/>
  </si>
  <si>
    <t>运输费</t>
  </si>
  <si>
    <t>项</t>
  </si>
  <si>
    <t>设备运送费用</t>
  </si>
  <si>
    <t>合计：</t>
  </si>
  <si>
    <t>五、铜管及辅材部分</t>
  </si>
  <si>
    <t>规格/型号</t>
  </si>
  <si>
    <t>冷媒铜管</t>
  </si>
  <si>
    <t>φ6.35（壁厚0.8mm）</t>
  </si>
  <si>
    <t>φ9.52（壁厚0.8mm）</t>
  </si>
  <si>
    <t>φ12.7（壁厚0.8mm）</t>
  </si>
  <si>
    <t>φ15.88（壁厚1.2mm）</t>
  </si>
  <si>
    <t>φ19.05（壁厚1.3mm）</t>
    <phoneticPr fontId="2" type="noConversion"/>
  </si>
  <si>
    <t>φ22.22（壁厚1.6mm）</t>
  </si>
  <si>
    <t>φ25.40（壁厚1.6mm）</t>
  </si>
  <si>
    <t>铜管保温</t>
  </si>
  <si>
    <t>φ6.35（厚度13mm）</t>
  </si>
  <si>
    <t>φ9.52（厚度13mm）</t>
  </si>
  <si>
    <t>φ12.7（厚度13mm）</t>
  </si>
  <si>
    <t>φ15.88（厚度13mm）</t>
  </si>
  <si>
    <t>φ19.05（厚度15mm）</t>
  </si>
  <si>
    <t>φ22.22（厚度17mm）</t>
  </si>
  <si>
    <t>φ25.40（厚度17mm）</t>
  </si>
  <si>
    <t>室内机出风口</t>
  </si>
  <si>
    <t>标准尺寸回检一体</t>
  </si>
  <si>
    <t>ABS材质，双层百叶，白色</t>
  </si>
  <si>
    <t>室内机回风口</t>
  </si>
  <si>
    <t>ABS材质，单层百叶，白色</t>
  </si>
  <si>
    <t>冷凝水管</t>
  </si>
  <si>
    <t>PVC / DN25</t>
  </si>
  <si>
    <t>湖北联豪</t>
  </si>
  <si>
    <t>制冷剂</t>
  </si>
  <si>
    <t>R410A</t>
  </si>
  <si>
    <t>杜邦/霍利韦尔</t>
  </si>
  <si>
    <t>气密试验</t>
  </si>
  <si>
    <t>氮气试压</t>
  </si>
  <si>
    <t>其他</t>
  </si>
  <si>
    <t>信号线，配件</t>
  </si>
  <si>
    <t>备注：以上材料数量为正常使用的平均数，实际安装数量不影响报价金额总价。（不存在多退少补情况）</t>
  </si>
  <si>
    <t>项目总造价：</t>
  </si>
  <si>
    <t>三+四+五</t>
  </si>
  <si>
    <t>备注： 净化去除PM2.5中有害物质、甲醛、霉菌、病毒、手足口病菌、流感、冠状病毒、异味、空调内部自清洁、美肤、主动净化、独立使用、无需更换任何耗材。</t>
  </si>
  <si>
    <t>2.本报价不包含税金，客户如需开具发票，需另加6%开票税费；</t>
  </si>
  <si>
    <t>3.本报价不含室外机基础、室内外机电源线及空气开关；</t>
  </si>
  <si>
    <t>4.本报价不含风口加长费用、风道费用、异地安装费用，如发生据实核算；</t>
  </si>
  <si>
    <t>5.本报价有效期为15天。</t>
  </si>
  <si>
    <t>空调</t>
    <phoneticPr fontId="2" type="noConversion"/>
  </si>
  <si>
    <t>匹数</t>
  </si>
  <si>
    <t>电源</t>
  </si>
  <si>
    <t>制冷</t>
  </si>
  <si>
    <t>制热</t>
  </si>
  <si>
    <t>设备选型代号</t>
    <phoneticPr fontId="2" type="noConversion"/>
  </si>
  <si>
    <t>系列最大冷量</t>
    <phoneticPr fontId="2" type="noConversion"/>
  </si>
  <si>
    <t>设备特点</t>
    <phoneticPr fontId="2" type="noConversion"/>
  </si>
  <si>
    <t>输入功率(kW)</t>
  </si>
  <si>
    <t>制热量(kW)</t>
  </si>
  <si>
    <t>CS-MHE6D0AS12PB</t>
  </si>
  <si>
    <t>单相220V/50Hz</t>
  </si>
  <si>
    <t>12PB</t>
    <phoneticPr fontId="2" type="noConversion"/>
  </si>
  <si>
    <t>CS-MHE7D0AS12PB</t>
  </si>
  <si>
    <t>CS-MHE8D0AS12PB</t>
  </si>
  <si>
    <t>CS-MHE9D0AS12PB</t>
  </si>
  <si>
    <t>CS-MHE10D0AS12PB</t>
  </si>
  <si>
    <t>CS-MHE12D0AS12PB</t>
  </si>
  <si>
    <t>CS-MHE14D0AS12PB</t>
  </si>
  <si>
    <t>CS-MHE16D0AS12PB</t>
  </si>
  <si>
    <t>CS-MHE17D0AS12PB</t>
  </si>
  <si>
    <t>CS-MHE18D0AS12PB</t>
  </si>
  <si>
    <t>CS-MHE23D0AS12PB</t>
  </si>
  <si>
    <t>CS-MHE27D0AS12PB</t>
  </si>
  <si>
    <t>CS-MHE28D0AS12PB</t>
  </si>
  <si>
    <t>CS-MHE32D0AS12PB</t>
  </si>
  <si>
    <t>CS-MHE35D0AS12PB</t>
  </si>
  <si>
    <t>CS-MHE38D0AS12PB</t>
  </si>
  <si>
    <t>CS-MHE7D0AS12PBF</t>
  </si>
  <si>
    <t>CS-MHE8D0AS12PBF</t>
  </si>
  <si>
    <t>CS-MHE9D0AS12PBF</t>
  </si>
  <si>
    <t>CS-MHE10D0AS12PBF</t>
  </si>
  <si>
    <t>CS-MHE12D0AS12PBF</t>
  </si>
  <si>
    <t>CS-MHE27D0AS12PBF</t>
  </si>
  <si>
    <t>CS-MHE28D0AS12PBF</t>
  </si>
  <si>
    <t>CS-MHE32D0AS12PBF</t>
  </si>
  <si>
    <t>CS-MHE35D0AS12PBF</t>
  </si>
  <si>
    <t>CS-MHE38D0AS12PBF</t>
  </si>
  <si>
    <t>CS-MHE6D0AS12B</t>
  </si>
  <si>
    <t>12B</t>
    <phoneticPr fontId="2" type="noConversion"/>
  </si>
  <si>
    <t>CS-MHE7D0AS12B</t>
  </si>
  <si>
    <t>CS-MHE8D0AS12B</t>
  </si>
  <si>
    <t>CS-MHE9D0AS12B</t>
  </si>
  <si>
    <t>CS-MHE10D0AS12B</t>
  </si>
  <si>
    <t>CS-MHE12D0AS12B</t>
  </si>
  <si>
    <t>CS-MHE14D0AS12B</t>
  </si>
  <si>
    <t>CS-MHE16D0AS12B</t>
  </si>
  <si>
    <t>CS-MHE17D0AS12B</t>
  </si>
  <si>
    <t>CS-MHE18D0AS12B</t>
  </si>
  <si>
    <t>CS-MHE23D0AS12B</t>
  </si>
  <si>
    <t>CS-MHE27D0AS12B</t>
  </si>
  <si>
    <t>CS-MHE6D0AS12BF</t>
  </si>
  <si>
    <t>CS-MHE7D0AS12BF</t>
  </si>
  <si>
    <t>CS-MHE8D0AS12BF</t>
  </si>
  <si>
    <t>CS-MHE9D0AS12BF</t>
  </si>
  <si>
    <t>CS-MHE10D0AS12BF</t>
  </si>
  <si>
    <t>CS-MHE12D0AS12BF</t>
  </si>
  <si>
    <t>CS-MHE14D0AS12BF</t>
  </si>
  <si>
    <t>CS-MHE16D0AS12BF</t>
  </si>
  <si>
    <t>CS-MHE17D0AS12BF</t>
  </si>
  <si>
    <t>CS-MHE18D0AS12BF</t>
  </si>
  <si>
    <t>CS-MHE23D0AS12BF</t>
  </si>
  <si>
    <t>CS-MHE27D0AS12BF</t>
  </si>
  <si>
    <t>CS-ME9D0AS9</t>
    <phoneticPr fontId="2" type="noConversion"/>
  </si>
  <si>
    <t>S9</t>
    <phoneticPr fontId="2" type="noConversion"/>
  </si>
  <si>
    <t>CS-ME9D0AS9B</t>
    <phoneticPr fontId="2" type="noConversion"/>
  </si>
  <si>
    <t>S9B</t>
    <phoneticPr fontId="2" type="noConversion"/>
  </si>
  <si>
    <t>CS-ME7DIEX8B</t>
    <phoneticPr fontId="2" type="noConversion"/>
  </si>
  <si>
    <t>EX8B</t>
    <phoneticPr fontId="2" type="noConversion"/>
  </si>
  <si>
    <t>CS-ME9DIEX8B</t>
    <phoneticPr fontId="2" type="noConversion"/>
  </si>
  <si>
    <t>CS-ME12DIEX8B</t>
    <phoneticPr fontId="2" type="noConversion"/>
  </si>
  <si>
    <t>CS-ME14DIEX8B</t>
    <phoneticPr fontId="2" type="noConversion"/>
  </si>
  <si>
    <t>CS-ME16DIEX8B</t>
    <phoneticPr fontId="2" type="noConversion"/>
  </si>
  <si>
    <t>CS-ME17DIEX8B</t>
    <phoneticPr fontId="2" type="noConversion"/>
  </si>
  <si>
    <t>CS-ME18DIEX8B</t>
    <phoneticPr fontId="2" type="noConversion"/>
  </si>
  <si>
    <t>CS-ME23DIEX8B</t>
    <phoneticPr fontId="2" type="noConversion"/>
  </si>
  <si>
    <t>CS-ME27DIEX8B</t>
    <phoneticPr fontId="2" type="noConversion"/>
  </si>
  <si>
    <t>CS-ME28DIEX8B</t>
    <phoneticPr fontId="2" type="noConversion"/>
  </si>
  <si>
    <t>CS-ME32DIEX8B</t>
    <phoneticPr fontId="2" type="noConversion"/>
  </si>
  <si>
    <t>CS-ME35DIEX8B</t>
    <phoneticPr fontId="2" type="noConversion"/>
  </si>
  <si>
    <t>CS-ME38DIEX8B</t>
    <phoneticPr fontId="2" type="noConversion"/>
  </si>
  <si>
    <t>CS-ME45DIEX8B</t>
    <phoneticPr fontId="2" type="noConversion"/>
  </si>
  <si>
    <t>CS-ME54DIEX8B</t>
    <phoneticPr fontId="2" type="noConversion"/>
  </si>
  <si>
    <t>CS-ME60DIEX8B</t>
    <phoneticPr fontId="2" type="noConversion"/>
  </si>
  <si>
    <t>CS-ME7DIEX8</t>
  </si>
  <si>
    <t>EX8</t>
    <phoneticPr fontId="2" type="noConversion"/>
  </si>
  <si>
    <t>CS-ME8DIEX8</t>
    <phoneticPr fontId="2" type="noConversion"/>
  </si>
  <si>
    <t>CS-ME9DIEX8</t>
  </si>
  <si>
    <t>CS-ME10DIEX8</t>
    <phoneticPr fontId="2" type="noConversion"/>
  </si>
  <si>
    <t>CS-ME12DIEX8</t>
  </si>
  <si>
    <t>CS-ME14DIEX8</t>
  </si>
  <si>
    <t>CS-ME15DIEX8</t>
    <phoneticPr fontId="2" type="noConversion"/>
  </si>
  <si>
    <t>CS-ME16DIEX8</t>
  </si>
  <si>
    <t>CS-ME17DIEX8</t>
  </si>
  <si>
    <t>CS-ME18DIEX8</t>
  </si>
  <si>
    <t>CS-ME23DIEX8</t>
  </si>
  <si>
    <t>CS-ME27DIEX8</t>
  </si>
  <si>
    <t>CS-ME28DIEX8</t>
  </si>
  <si>
    <t>CS-ME32DIEX8</t>
  </si>
  <si>
    <t>CS-ME34DIEX8</t>
    <phoneticPr fontId="2" type="noConversion"/>
  </si>
  <si>
    <t>CS-ME35DIEX8</t>
  </si>
  <si>
    <t>CS-ME36DIEX8</t>
    <phoneticPr fontId="2" type="noConversion"/>
  </si>
  <si>
    <t>CS-ME38DIEX8</t>
  </si>
  <si>
    <t>CS-ME45DIEX8</t>
  </si>
  <si>
    <t>CS-ME54DIEX8</t>
  </si>
  <si>
    <t>CS-ME60DIEX8</t>
  </si>
  <si>
    <t>暗藏管道式-中静压</t>
    <phoneticPr fontId="2" type="noConversion"/>
  </si>
  <si>
    <t>CS-ME7DIEX7</t>
  </si>
  <si>
    <t>EX7</t>
    <phoneticPr fontId="2" type="noConversion"/>
  </si>
  <si>
    <t>CS-ME9DIEX7</t>
  </si>
  <si>
    <t>CS-ME12DIEX7</t>
  </si>
  <si>
    <t>CS-ME14DIEX7</t>
  </si>
  <si>
    <t>CS-ME16DIEX7</t>
  </si>
  <si>
    <t>CS-ME17DIEX7</t>
  </si>
  <si>
    <t>CS-ME18DIEX7</t>
  </si>
  <si>
    <t>CS-ME23DIEX7</t>
  </si>
  <si>
    <t>CS-ME27DIEX7</t>
  </si>
  <si>
    <t>CS-ME28DIEX7</t>
  </si>
  <si>
    <t>CS-ME32DIEX7</t>
  </si>
  <si>
    <t>CS-ME35DIEX7</t>
  </si>
  <si>
    <t>CS-ME38DIEX7</t>
  </si>
  <si>
    <t>CS-ME45DIEX7</t>
  </si>
  <si>
    <t>CS-ME54DIEX7</t>
  </si>
  <si>
    <t>CS-ME60DIEX7</t>
  </si>
  <si>
    <t>CU-ME36BS7</t>
  </si>
  <si>
    <t>S7</t>
    <phoneticPr fontId="1" type="noConversion"/>
  </si>
  <si>
    <t>单相电单风扇</t>
    <phoneticPr fontId="2" type="noConversion"/>
  </si>
  <si>
    <t>CU-ME45BS7</t>
  </si>
  <si>
    <t>CU-ME54BS7</t>
  </si>
  <si>
    <t>CU-ME36BS7R</t>
  </si>
  <si>
    <t>S7R</t>
    <phoneticPr fontId="1" type="noConversion"/>
  </si>
  <si>
    <t>S7R</t>
    <phoneticPr fontId="2" type="noConversion"/>
  </si>
  <si>
    <t>CU-ME40BS7R</t>
  </si>
  <si>
    <t>CU-ME45BS7R</t>
  </si>
  <si>
    <t>CU-ME54BS7R</t>
  </si>
  <si>
    <t>CU-ME58BS7R</t>
    <phoneticPr fontId="2" type="noConversion"/>
  </si>
  <si>
    <t>CU-ME36BS6R</t>
  </si>
  <si>
    <t>S6R</t>
    <phoneticPr fontId="1" type="noConversion"/>
  </si>
  <si>
    <t>S6R</t>
    <phoneticPr fontId="2" type="noConversion"/>
  </si>
  <si>
    <t>CU-ME40BS6R</t>
  </si>
  <si>
    <t>CU-ME45BS6R</t>
  </si>
  <si>
    <t>CU-ME54BS6R</t>
  </si>
  <si>
    <t>CU-ME27BS6</t>
  </si>
  <si>
    <t>S6</t>
    <phoneticPr fontId="1" type="noConversion"/>
  </si>
  <si>
    <t>S6</t>
    <phoneticPr fontId="2" type="noConversion"/>
  </si>
  <si>
    <t>CU-ME36BS6</t>
  </si>
  <si>
    <t>CU-ME45BS6</t>
  </si>
  <si>
    <t>CU-ME54BS6</t>
  </si>
  <si>
    <t>CU-ME36BS6N</t>
    <phoneticPr fontId="2" type="noConversion"/>
  </si>
  <si>
    <t>S6N</t>
    <phoneticPr fontId="2" type="noConversion"/>
  </si>
  <si>
    <t>单相电双风扇</t>
    <phoneticPr fontId="2" type="noConversion"/>
  </si>
  <si>
    <t>CU-ME45BS6N</t>
    <phoneticPr fontId="2" type="noConversion"/>
  </si>
  <si>
    <t>CU-ME54BS6N</t>
    <phoneticPr fontId="2" type="noConversion"/>
  </si>
  <si>
    <t>CU-ME58BS6</t>
  </si>
  <si>
    <t>CU-ME63BS6</t>
  </si>
  <si>
    <t>CU-ME58BYS6</t>
  </si>
  <si>
    <t>三相380V/50Hz</t>
  </si>
  <si>
    <t>三相电双风扇</t>
    <phoneticPr fontId="2" type="noConversion"/>
  </si>
  <si>
    <t>CU-ME63BYS6</t>
  </si>
  <si>
    <t>CU-ME72BYS6</t>
  </si>
  <si>
    <t>CU-ME81BYS6</t>
  </si>
  <si>
    <t>CU-ME90BYS6</t>
  </si>
  <si>
    <t>CU-ME100BYS6</t>
  </si>
  <si>
    <t>CU-ME108BYS6</t>
  </si>
  <si>
    <t>CU-ME115BYS6</t>
  </si>
  <si>
    <t>家用多联G系列 8H</t>
    <phoneticPr fontId="2" type="noConversion"/>
  </si>
  <si>
    <t>CU-ME8B1YS8Z</t>
    <phoneticPr fontId="2" type="noConversion"/>
  </si>
  <si>
    <t>8H</t>
    <phoneticPr fontId="1" type="noConversion"/>
  </si>
  <si>
    <t>8H</t>
    <phoneticPr fontId="2" type="noConversion"/>
  </si>
  <si>
    <t>单模块</t>
    <phoneticPr fontId="2" type="noConversion"/>
  </si>
  <si>
    <t>CU-ME10B1YS8Z</t>
    <phoneticPr fontId="2" type="noConversion"/>
  </si>
  <si>
    <t>CU-ME12B1YS8Z</t>
    <phoneticPr fontId="2" type="noConversion"/>
  </si>
  <si>
    <t>CU-ME14B1YS8Z</t>
    <phoneticPr fontId="2" type="noConversion"/>
  </si>
  <si>
    <t>CU-ME16B1YS8Z</t>
    <phoneticPr fontId="2" type="noConversion"/>
  </si>
  <si>
    <t>CU-ME18B1YS8Z</t>
    <phoneticPr fontId="2" type="noConversion"/>
  </si>
  <si>
    <t>CU-ME20B1YS8Z</t>
    <phoneticPr fontId="2" type="noConversion"/>
  </si>
  <si>
    <t>CU-ME22B1YS8Z</t>
    <phoneticPr fontId="2" type="noConversion"/>
  </si>
  <si>
    <t>CU-ME24B1YS8Z</t>
    <phoneticPr fontId="2" type="noConversion"/>
  </si>
  <si>
    <t>CU-ME26B1YS8Z</t>
    <phoneticPr fontId="2" type="noConversion"/>
  </si>
  <si>
    <t>CU-ME28B1YS8Z</t>
    <phoneticPr fontId="2" type="noConversion"/>
  </si>
  <si>
    <t>CU-ME30B1YS8Z</t>
    <phoneticPr fontId="2" type="noConversion"/>
  </si>
  <si>
    <t>CU-ME32B1YS8Z</t>
    <phoneticPr fontId="2" type="noConversion"/>
  </si>
  <si>
    <t>CU-ME34B1YS8Z</t>
    <phoneticPr fontId="2" type="noConversion"/>
  </si>
  <si>
    <t>CU-ME36B1YS8Z</t>
    <phoneticPr fontId="2" type="noConversion"/>
  </si>
  <si>
    <t>CU-ME38B1YS8Z</t>
    <phoneticPr fontId="2" type="noConversion"/>
  </si>
  <si>
    <t>CU-ME40B1YS8Z</t>
    <phoneticPr fontId="2" type="noConversion"/>
  </si>
  <si>
    <t>家用多联G系列 8S</t>
    <phoneticPr fontId="2" type="noConversion"/>
  </si>
  <si>
    <t>CU-ME8B1YS8</t>
  </si>
  <si>
    <t>8S</t>
    <phoneticPr fontId="1" type="noConversion"/>
  </si>
  <si>
    <t>8S</t>
    <phoneticPr fontId="2" type="noConversion"/>
  </si>
  <si>
    <t>CU-ME10B1YS8</t>
  </si>
  <si>
    <t>CU-ME12B1YS8</t>
  </si>
  <si>
    <t>CU-ME14B1YS8</t>
  </si>
  <si>
    <t>CU-ME16B1YS8</t>
  </si>
  <si>
    <t>CU-ME18B1YS8</t>
  </si>
  <si>
    <t>CU-ME20B1YS8</t>
  </si>
  <si>
    <t>CU-ME22B1YS8</t>
  </si>
  <si>
    <t>CU-ME24B1YS8</t>
  </si>
  <si>
    <t>CU-ME26B1YS8</t>
  </si>
  <si>
    <t>CU-ME28B1YS8</t>
  </si>
  <si>
    <t>CU-ME30B1YS8</t>
  </si>
  <si>
    <t>CU-ME32B1YS8</t>
  </si>
  <si>
    <t>CU-ME34B1YS8</t>
  </si>
  <si>
    <t>CU-ME36B1YS8</t>
  </si>
  <si>
    <t>CU-ME38B1YS8</t>
  </si>
  <si>
    <t>CU-ME40B1YS8</t>
  </si>
  <si>
    <t>A2W</t>
    <phoneticPr fontId="1" type="noConversion"/>
  </si>
  <si>
    <t>A2W水力模块</t>
    <phoneticPr fontId="2" type="noConversion"/>
  </si>
  <si>
    <t>CS-MN6WKS1</t>
  </si>
  <si>
    <t>S1</t>
    <phoneticPr fontId="2" type="noConversion"/>
  </si>
  <si>
    <t>A2W水力模块（带电加热）</t>
    <phoneticPr fontId="2" type="noConversion"/>
  </si>
  <si>
    <t>CS-MN6WKS1E</t>
  </si>
  <si>
    <t>S1E</t>
    <phoneticPr fontId="2" type="noConversion"/>
  </si>
  <si>
    <t>CS-MN8WKS1</t>
  </si>
  <si>
    <t>CS-MN8WKS1E</t>
  </si>
  <si>
    <t>CS-MN10WKS1</t>
  </si>
  <si>
    <t>CS-MN10WKS1E</t>
  </si>
  <si>
    <t>新风</t>
    <phoneticPr fontId="2" type="noConversion"/>
  </si>
  <si>
    <t>设备型号</t>
    <phoneticPr fontId="2" type="noConversion"/>
  </si>
  <si>
    <t>机外余压</t>
    <phoneticPr fontId="2" type="noConversion"/>
  </si>
  <si>
    <t>额定风量</t>
    <phoneticPr fontId="2" type="noConversion"/>
  </si>
  <si>
    <t>噪音</t>
    <phoneticPr fontId="2" type="noConversion"/>
  </si>
  <si>
    <t>功率</t>
    <phoneticPr fontId="2" type="noConversion"/>
  </si>
  <si>
    <t>制冷全热交换效率</t>
    <phoneticPr fontId="2" type="noConversion"/>
  </si>
  <si>
    <t>制热全热交换效率</t>
    <phoneticPr fontId="2" type="noConversion"/>
  </si>
  <si>
    <t>设备代号</t>
    <phoneticPr fontId="2" type="noConversion"/>
  </si>
  <si>
    <t>系列最大风量</t>
    <phoneticPr fontId="2" type="noConversion"/>
  </si>
  <si>
    <t>-</t>
    <phoneticPr fontId="2" type="noConversion"/>
  </si>
  <si>
    <t>Pa</t>
    <phoneticPr fontId="2" type="noConversion"/>
  </si>
  <si>
    <t>m³/h</t>
    <phoneticPr fontId="2" type="noConversion"/>
  </si>
  <si>
    <t>dB</t>
    <phoneticPr fontId="2" type="noConversion"/>
  </si>
  <si>
    <t>W</t>
    <phoneticPr fontId="1" type="noConversion"/>
  </si>
  <si>
    <t>%</t>
    <phoneticPr fontId="2" type="noConversion"/>
  </si>
  <si>
    <t>家用薄型全热交换器</t>
    <phoneticPr fontId="2" type="noConversion"/>
  </si>
  <si>
    <t>FV-15ZDP2C</t>
    <phoneticPr fontId="2" type="noConversion"/>
  </si>
  <si>
    <t>760*720*220</t>
  </si>
  <si>
    <t>ZDP2C</t>
    <phoneticPr fontId="2" type="noConversion"/>
  </si>
  <si>
    <t>FV-25ZDP2C</t>
    <phoneticPr fontId="2" type="noConversion"/>
  </si>
  <si>
    <t>780*760*230</t>
  </si>
  <si>
    <t>FV-35ZDP2C</t>
    <phoneticPr fontId="2" type="noConversion"/>
  </si>
  <si>
    <t>920*800*240</t>
  </si>
  <si>
    <t>FV-50ZDP2C</t>
    <phoneticPr fontId="2" type="noConversion"/>
  </si>
  <si>
    <t>995*865*250</t>
  </si>
  <si>
    <t>迷你全热交换器</t>
    <phoneticPr fontId="2" type="noConversion"/>
  </si>
  <si>
    <t>FY-15ZM1C</t>
  </si>
  <si>
    <t>505*550*220</t>
  </si>
  <si>
    <t>ZM</t>
    <phoneticPr fontId="2" type="noConversion"/>
  </si>
  <si>
    <t>FY-25ZM1C</t>
  </si>
  <si>
    <t>560*660*220</t>
  </si>
  <si>
    <t>FY-35ZM1C</t>
  </si>
  <si>
    <t>735*705*220</t>
  </si>
  <si>
    <t>智净御风全热交换器</t>
    <phoneticPr fontId="2" type="noConversion"/>
  </si>
  <si>
    <t>FV-25ZJD3C</t>
  </si>
  <si>
    <t>950*880*250</t>
  </si>
  <si>
    <t>智净</t>
    <phoneticPr fontId="2" type="noConversion"/>
  </si>
  <si>
    <t>FV-35ZJD3C</t>
  </si>
  <si>
    <t>1055*895*250</t>
  </si>
  <si>
    <t>FV-50ZJD3C</t>
  </si>
  <si>
    <t>1256*895*250</t>
  </si>
  <si>
    <t>除湿新风机</t>
    <phoneticPr fontId="2" type="noConversion"/>
  </si>
  <si>
    <t>FV-50NC1C</t>
    <phoneticPr fontId="2" type="noConversion"/>
  </si>
  <si>
    <t>950*570*288</t>
  </si>
  <si>
    <t>50NC</t>
    <phoneticPr fontId="2" type="noConversion"/>
  </si>
  <si>
    <t>FV-50NCD1C</t>
    <phoneticPr fontId="2" type="noConversion"/>
  </si>
  <si>
    <t>50NCD</t>
    <phoneticPr fontId="2" type="noConversion"/>
  </si>
  <si>
    <t>FV-50NXC2C</t>
    <phoneticPr fontId="2" type="noConversion"/>
  </si>
  <si>
    <t>50NXC</t>
    <phoneticPr fontId="2" type="noConversion"/>
  </si>
  <si>
    <t>除湿全热交换器</t>
    <phoneticPr fontId="2" type="noConversion"/>
  </si>
  <si>
    <t>FV-35ZXC1C</t>
    <phoneticPr fontId="2" type="noConversion"/>
  </si>
  <si>
    <t>1330*799*280</t>
  </si>
  <si>
    <t>35ZXC</t>
    <phoneticPr fontId="2" type="noConversion"/>
  </si>
  <si>
    <t>室内机</t>
    <phoneticPr fontId="1" type="noConversion"/>
  </si>
  <si>
    <t>产品系列</t>
    <phoneticPr fontId="1" type="noConversion"/>
  </si>
  <si>
    <t>暗藏管道式-超薄（100×nanoe）</t>
  </si>
  <si>
    <t>暗藏管道式-超薄（100×nanoe/内置排水泵）</t>
  </si>
  <si>
    <t>暗藏管道式-超薄（100×nanoe/内置排水泵/PM2.5滤网）</t>
  </si>
  <si>
    <t>暗藏管道式-超薄（100×nanoe/PM2.5滤网）</t>
  </si>
  <si>
    <t>厨房专用空调(内置排水泵)</t>
  </si>
  <si>
    <t>卫浴专用空调(nanoe+内置排水泵)</t>
  </si>
  <si>
    <t>暗藏管道式-中静压（nanoe/内置排水泵）</t>
  </si>
  <si>
    <t>暗藏管道式-中静压（na内置排水泵）</t>
  </si>
  <si>
    <t>暗藏管道式-超薄（100×nanoe）</t>
    <phoneticPr fontId="1" type="noConversion"/>
  </si>
  <si>
    <t>厨卫</t>
    <phoneticPr fontId="1" type="noConversion"/>
  </si>
  <si>
    <t>中静压</t>
    <phoneticPr fontId="1" type="noConversion"/>
  </si>
  <si>
    <t>CU-ME58BS7</t>
  </si>
  <si>
    <t>CU-ME63BS7</t>
  </si>
  <si>
    <t>CU-ME72BS7</t>
  </si>
  <si>
    <t>CU-ME81BSY7</t>
  </si>
  <si>
    <t>CU-ME90BSY7</t>
  </si>
  <si>
    <t>CU-ME100BSY7</t>
  </si>
  <si>
    <t>CU-ME108BSY7</t>
  </si>
  <si>
    <t>CU-ME115BSY7</t>
  </si>
  <si>
    <t>CU-ME27BS7</t>
    <phoneticPr fontId="1" type="noConversion"/>
  </si>
  <si>
    <t>CU-ME36BS7N</t>
    <phoneticPr fontId="1" type="noConversion"/>
  </si>
  <si>
    <t>CU-ME45BS7N</t>
    <phoneticPr fontId="1" type="noConversion"/>
  </si>
  <si>
    <t>CU-ME54BS7N</t>
    <phoneticPr fontId="1" type="noConversion"/>
  </si>
  <si>
    <t>CU-ME58BYS7</t>
    <phoneticPr fontId="1" type="noConversion"/>
  </si>
  <si>
    <t>CU-ME63BYS7</t>
    <phoneticPr fontId="1" type="noConversion"/>
  </si>
  <si>
    <t>CU-ME72BYS7</t>
    <phoneticPr fontId="1" type="noConversion"/>
  </si>
  <si>
    <t>变频多联室外机（侧出风）52℃</t>
    <phoneticPr fontId="1" type="noConversion"/>
  </si>
  <si>
    <t>变频多联室外机（侧出风）</t>
    <phoneticPr fontId="1" type="noConversion"/>
  </si>
  <si>
    <t>室外机</t>
    <phoneticPr fontId="1" type="noConversion"/>
  </si>
  <si>
    <t>室内机选型</t>
    <phoneticPr fontId="1" type="noConversion"/>
  </si>
  <si>
    <t>室外机选型</t>
    <phoneticPr fontId="1" type="noConversion"/>
  </si>
  <si>
    <t>（W/㎡）</t>
    <phoneticPr fontId="1" type="noConversion"/>
  </si>
  <si>
    <t>实际冷负荷</t>
    <phoneticPr fontId="1" type="noConversion"/>
  </si>
  <si>
    <t>面积</t>
    <phoneticPr fontId="1" type="noConversion"/>
  </si>
  <si>
    <t>制冷量</t>
    <phoneticPr fontId="2" type="noConversion"/>
  </si>
  <si>
    <t>长*宽*高</t>
    <phoneticPr fontId="1" type="noConversion"/>
  </si>
  <si>
    <t>㎡</t>
    <phoneticPr fontId="1" type="noConversion"/>
  </si>
  <si>
    <t>室内机型号</t>
    <phoneticPr fontId="1" type="noConversion"/>
  </si>
  <si>
    <t>设计冷负荷</t>
    <phoneticPr fontId="1" type="noConversion"/>
  </si>
  <si>
    <t>制热量</t>
    <phoneticPr fontId="2" type="noConversion"/>
  </si>
  <si>
    <t>制冷量(kW)</t>
  </si>
  <si>
    <t>内机系列代号</t>
    <phoneticPr fontId="1" type="noConversion"/>
  </si>
  <si>
    <t>系列最大冷量</t>
    <phoneticPr fontId="1" type="noConversion"/>
  </si>
  <si>
    <t>12BF</t>
    <phoneticPr fontId="2" type="noConversion"/>
  </si>
  <si>
    <t>12PBF</t>
    <phoneticPr fontId="2" type="noConversion"/>
  </si>
  <si>
    <t>外机系列</t>
    <phoneticPr fontId="1" type="noConversion"/>
  </si>
  <si>
    <t>S7</t>
  </si>
  <si>
    <t>系统编号</t>
    <phoneticPr fontId="1" type="noConversion"/>
  </si>
  <si>
    <t>超配率</t>
    <phoneticPr fontId="1" type="noConversion"/>
  </si>
  <si>
    <t>S7(6.5-8P/380V)</t>
    <phoneticPr fontId="1" type="noConversion"/>
  </si>
  <si>
    <t>S7(4-6P/单风扇)</t>
    <phoneticPr fontId="1" type="noConversion"/>
  </si>
  <si>
    <t>线控器</t>
    <phoneticPr fontId="1" type="noConversion"/>
  </si>
  <si>
    <t>空调线控器</t>
  </si>
  <si>
    <t>CZ-RD504DX1</t>
  </si>
  <si>
    <t>CZ-RD504DX2</t>
  </si>
  <si>
    <t>CZ-RD506DX2</t>
  </si>
  <si>
    <t>CZ-RD602DX2</t>
  </si>
  <si>
    <t>CZ-RD603DX1</t>
  </si>
  <si>
    <t>CZ-559DW</t>
  </si>
  <si>
    <t>设备价折扣</t>
    <phoneticPr fontId="1" type="noConversion"/>
  </si>
  <si>
    <t>1.本报价根据客户平面图及建筑特点，依据《采暖通风与空气调节设计规范》设计和报价;</t>
    <phoneticPr fontId="1" type="noConversion"/>
  </si>
  <si>
    <t>辅助计算区域</t>
    <phoneticPr fontId="1" type="noConversion"/>
  </si>
  <si>
    <t>合计</t>
  </si>
  <si>
    <t>900*320*786</t>
    <phoneticPr fontId="1" type="noConversion"/>
  </si>
  <si>
    <t>1100*390*805</t>
    <phoneticPr fontId="1" type="noConversion"/>
  </si>
  <si>
    <t>980*370*1500</t>
    <phoneticPr fontId="1" type="noConversion"/>
  </si>
  <si>
    <t>1100*390*1626</t>
    <phoneticPr fontId="1" type="noConversion"/>
  </si>
  <si>
    <t>900*350*1340</t>
    <phoneticPr fontId="1" type="noConversion"/>
  </si>
  <si>
    <t>940*340*996</t>
    <phoneticPr fontId="1" type="noConversion"/>
  </si>
  <si>
    <t>980*370*996</t>
    <phoneticPr fontId="1" type="noConversion"/>
  </si>
  <si>
    <t>选型参数</t>
    <phoneticPr fontId="1" type="noConversion"/>
  </si>
  <si>
    <t>价格测算</t>
    <phoneticPr fontId="1" type="noConversion"/>
  </si>
  <si>
    <t>设备原价</t>
    <phoneticPr fontId="1" type="noConversion"/>
  </si>
  <si>
    <t>设备最终价格</t>
    <phoneticPr fontId="1" type="noConversion"/>
  </si>
  <si>
    <t>安装总价</t>
    <phoneticPr fontId="1" type="noConversion"/>
  </si>
  <si>
    <t>总计</t>
    <phoneticPr fontId="1" type="noConversion"/>
  </si>
  <si>
    <t>一、松下品牌简介：
①百年松下，舒适生活，底蕴深厚，精耕细作。
②连续23年处于世界500强前列。
③1957年首台空调产品诞生，深耕空调领域六十余载。
二、松下中央空调优势说明：
①品牌：百年品牌历史，世界一线空调品牌，全球统一生产标准；
②技术：核心技术压缩机全球销量2亿多台；
③品质：核心部件自产率超过83%，业界第一，日本原装进口芯片，松下原装自产压缩机，松下原装自产直流无刷电机马达。程序稳定，运行可靠；
④健康：内机可选配搭载松下黑科技专利nanoe™（纳诺怡）纳米水离子空气洁净技术，有效祛除异味（宠物味，烟味，料理味等），分解PM2.5中有害物,抑制花粉、霉菌，抑制细菌、病毒，美肌美发等，可单独开启，“净”享舒适健康生活；
⑤节能：采用全直流变频技术，压缩机，室内外机马达，排水泵均全直流变频；
⑥静音：改进换热器，加长风筒，风扇迎风角度优化，超静音；
⑦智能：可选配松下远程控制。室内部分五点精准控温，智能舒适；</t>
    <phoneticPr fontId="2" type="noConversion"/>
  </si>
  <si>
    <t>建议零售价</t>
    <phoneticPr fontId="2" type="noConversion"/>
  </si>
  <si>
    <t>室外机
超配比</t>
    <phoneticPr fontId="1" type="noConversion"/>
  </si>
  <si>
    <t>安装成本（元/每台内机）</t>
    <phoneticPr fontId="1" type="noConversion"/>
  </si>
  <si>
    <t>华美/福乐斯，BO级保温     
勃朗斯，B1级保温</t>
    <phoneticPr fontId="1" type="noConversion"/>
  </si>
  <si>
    <t>青岛宏泰
浙江海亮
R410A专用铜管</t>
    <phoneticPr fontId="1" type="noConversion"/>
  </si>
  <si>
    <r>
      <t>使用指南：
1.启用宏（要启用Excel中的宏，需要依次点击【文件】—【选项】—【信任中心】—【信任中心设置】—【宏设置】，最后勾选“启用所有宏”。） 
2.填写选型参数部分</t>
    </r>
    <r>
      <rPr>
        <sz val="12"/>
        <color theme="5" tint="-0.249977111117893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区域数据，然后点击选型按钮完成选型。（多余单元格无需调整，会自动进行删除）
3.根据用户户型信息，填写下表中的楼层、区域名称、面积。如果有多套系统，请在L列对系统编号进行手动设置。如果某些房间冷负荷需要单独设置，可在M列中进行修改
4.点击选型完成选型。
5.如果有需要调整的区域，（如单个房间的内机是否带水泵，调整某些房间的冷负荷等）可在此时重新调整，完成后重新点击选型按钮。
6.打印表格为PDF发送给客户，打印区域已经提前设置好。</t>
    </r>
    <phoneticPr fontId="1" type="noConversion"/>
  </si>
  <si>
    <t>设计冷量</t>
    <phoneticPr fontId="1" type="noConversion"/>
  </si>
  <si>
    <t>暗藏管道式-超薄（20×nanoe）</t>
    <phoneticPr fontId="1" type="noConversion"/>
  </si>
  <si>
    <t>暗藏管道式-超薄（20×nanoe/内置排水泵）</t>
    <phoneticPr fontId="1" type="noConversion"/>
  </si>
  <si>
    <t>CS-ME7D0AS12BJ</t>
  </si>
  <si>
    <t>CS-ME9D0AS12BJ</t>
  </si>
  <si>
    <t>CS-ME12D0AS12BJ</t>
  </si>
  <si>
    <t>CS-ME17D0AS12BJ</t>
  </si>
  <si>
    <t>CS-ME18D0AS12BJ</t>
  </si>
  <si>
    <t>CS-ME23D0AS12BJ</t>
  </si>
  <si>
    <t>CS-ME27D0AS12BJ</t>
  </si>
  <si>
    <t>CS-ME7D0AS12PBJ</t>
  </si>
  <si>
    <t>CS-ME9D0AS12PBJ</t>
  </si>
  <si>
    <t>CS-ME12D0AS12PBJ</t>
  </si>
  <si>
    <t>CS-ME17D0AS12PBJ</t>
  </si>
  <si>
    <t>CS-ME18D0AS12PBJ</t>
  </si>
  <si>
    <t>CS-ME23D0AS12PBJ</t>
  </si>
  <si>
    <t>CS-ME27D0AS12PBJ</t>
  </si>
  <si>
    <t>CS-ME32D0AS12PBJ</t>
  </si>
  <si>
    <t>CS-ME35D0AS12PBJ</t>
  </si>
  <si>
    <t>CS-ME38D0AS12PBJ</t>
  </si>
  <si>
    <t>CS-ME15D0AS12BJ</t>
    <phoneticPr fontId="1" type="noConversion"/>
  </si>
  <si>
    <t>CS-ME15D0AS12PBJ</t>
    <phoneticPr fontId="1" type="noConversion"/>
  </si>
  <si>
    <t>内机系列</t>
    <phoneticPr fontId="1" type="noConversion"/>
  </si>
  <si>
    <t>12B</t>
    <phoneticPr fontId="1" type="noConversion"/>
  </si>
  <si>
    <t>12BJ</t>
    <phoneticPr fontId="1" type="noConversion"/>
  </si>
  <si>
    <t>12PBJ</t>
    <phoneticPr fontId="1" type="noConversion"/>
  </si>
  <si>
    <t>CU-ME36BS7RJ</t>
    <phoneticPr fontId="1" type="noConversion"/>
  </si>
  <si>
    <t>CU-ME40BS7RJ</t>
  </si>
  <si>
    <t>CU-ME45BS7RJ</t>
  </si>
  <si>
    <t>CU-ME54BS7RJ</t>
  </si>
  <si>
    <t>CU-ME58BS7RJ</t>
  </si>
  <si>
    <t>CU-ME27BS7J</t>
  </si>
  <si>
    <t>CU-ME36BS7J</t>
  </si>
  <si>
    <t>CU-ME45BS7J</t>
  </si>
  <si>
    <t>CU-ME54BS7J</t>
  </si>
  <si>
    <t>CU-ME58BS7J</t>
  </si>
  <si>
    <t>CU-ME63BS7J</t>
  </si>
  <si>
    <t>CU-ME72BS7J</t>
  </si>
  <si>
    <t>CU-ME81BSY7J</t>
  </si>
  <si>
    <t>CU-ME90BSY7J</t>
  </si>
  <si>
    <t>CU-ME100BSY7J</t>
  </si>
  <si>
    <t>CU-ME108BSY7J</t>
  </si>
  <si>
    <t>CU-ME115BSY7J</t>
  </si>
  <si>
    <t>CU-ME36BS7NJ</t>
  </si>
  <si>
    <t>CU-ME45BS7NJ</t>
  </si>
  <si>
    <t>CU-ME54BS7NJ</t>
  </si>
  <si>
    <t>CU-ME58BYS7J</t>
  </si>
  <si>
    <t>CU-ME63BYS7J</t>
  </si>
  <si>
    <t>CU-ME72BYS7J</t>
  </si>
  <si>
    <t>S7J</t>
  </si>
  <si>
    <t>S7J(4-6P/单风扇)</t>
  </si>
  <si>
    <t>S7J(6.5-8P/380V)</t>
  </si>
  <si>
    <t>S7RJ</t>
  </si>
  <si>
    <t>S7RJ</t>
    <phoneticPr fontId="1" type="noConversion"/>
  </si>
  <si>
    <t>S7J</t>
    <phoneticPr fontId="1" type="noConversion"/>
  </si>
  <si>
    <t>安装价折扣</t>
    <phoneticPr fontId="1" type="noConversion"/>
  </si>
  <si>
    <t>S7P</t>
    <phoneticPr fontId="1" type="noConversion"/>
  </si>
  <si>
    <t>CU-ME36BS7P</t>
    <phoneticPr fontId="1" type="noConversion"/>
  </si>
  <si>
    <t>CU-ME40BS7P</t>
    <phoneticPr fontId="1" type="noConversion"/>
  </si>
  <si>
    <t>CU-ME45BS7P</t>
    <phoneticPr fontId="1" type="noConversion"/>
  </si>
  <si>
    <t>CU-ME54BS7P</t>
    <phoneticPr fontId="1" type="noConversion"/>
  </si>
  <si>
    <t>700*450*200</t>
  </si>
  <si>
    <t>700*450*200</t>
    <phoneticPr fontId="1" type="noConversion"/>
  </si>
  <si>
    <t>900*450*200</t>
  </si>
  <si>
    <t>1100*450*200</t>
  </si>
  <si>
    <t>1400*450*200</t>
  </si>
  <si>
    <t>尺寸(D*W*H)(mm)</t>
    <phoneticPr fontId="1" type="noConversion"/>
  </si>
  <si>
    <t>P系列</t>
    <phoneticPr fontId="1" type="noConversion"/>
  </si>
  <si>
    <t>12Z</t>
    <phoneticPr fontId="2" type="noConversion"/>
  </si>
  <si>
    <t>12PZ</t>
    <phoneticPr fontId="2" type="noConversion"/>
  </si>
  <si>
    <t>暗藏管道式-超薄</t>
    <phoneticPr fontId="1" type="noConversion"/>
  </si>
  <si>
    <t>暗藏管道式-超薄（内置排水泵）</t>
    <phoneticPr fontId="1" type="noConversion"/>
  </si>
  <si>
    <t>内装</t>
    <phoneticPr fontId="1" type="noConversion"/>
  </si>
  <si>
    <t>CS-ME6D0AS12Z</t>
  </si>
  <si>
    <t>CS-ME7D0AS12Z</t>
  </si>
  <si>
    <t>CS-ME8D0AS12Z</t>
  </si>
  <si>
    <t>CS-ME9D0AS12Z</t>
  </si>
  <si>
    <t>CS-ME10D0AS12Z</t>
  </si>
  <si>
    <t>CS-ME12D0AS12Z</t>
  </si>
  <si>
    <t>CS-ME14D0AS12Z</t>
  </si>
  <si>
    <t>CS-ME16D0AS12Z</t>
  </si>
  <si>
    <t>CS-ME17D0AS12Z</t>
  </si>
  <si>
    <t>CS-ME18D0AS12Z</t>
  </si>
  <si>
    <t>CS-ME23D0AS12Z</t>
  </si>
  <si>
    <t>CS-ME27D0AS12Z</t>
  </si>
  <si>
    <t>CS-ME6D0AS12PZ</t>
  </si>
  <si>
    <t>CS-ME7D0AS12PZ</t>
  </si>
  <si>
    <t>CS-ME8D0AS12PZ</t>
  </si>
  <si>
    <t>CS-ME9D0AS12PZ</t>
  </si>
  <si>
    <t>CS-ME10D0AS12PZ</t>
  </si>
  <si>
    <t>CS-ME12D0AS12PZ</t>
  </si>
  <si>
    <t>CS-ME14D0AS12PZ</t>
  </si>
  <si>
    <t>CS-ME16D0AS12PZ</t>
  </si>
  <si>
    <t>CS-ME17D0AS12PZ</t>
  </si>
  <si>
    <t>CS-ME18D0AS12PZ</t>
  </si>
  <si>
    <t>CS-ME23D0AS12PZ</t>
  </si>
  <si>
    <t>CS-ME27D0AS12PZ</t>
  </si>
  <si>
    <t>CS-ME28D0AS12PZ</t>
  </si>
  <si>
    <t>CS-ME32D0AS12PZ</t>
  </si>
  <si>
    <t>CS-ME35D0AS12PZ</t>
  </si>
  <si>
    <t>CS-ME38D0AS12PZ</t>
  </si>
  <si>
    <t>基础单价</t>
    <phoneticPr fontId="1" type="noConversion"/>
  </si>
  <si>
    <t>900*320*786</t>
    <phoneticPr fontId="2" type="noConversion"/>
  </si>
  <si>
    <t>1100*390*805</t>
  </si>
  <si>
    <t>1100*390*805</t>
    <phoneticPr fontId="2" type="noConversion"/>
  </si>
  <si>
    <t>1340*900*350</t>
  </si>
  <si>
    <t>980*370*1500</t>
  </si>
  <si>
    <t>1100*390*1626</t>
  </si>
  <si>
    <t>940*340*996</t>
  </si>
  <si>
    <t>520*330*890</t>
    <phoneticPr fontId="2" type="noConversion"/>
  </si>
  <si>
    <t>12B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</si>
</sst>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 * #,##0.00_ ;_ * \-#,##0.00_ ;_ * &quot;-&quot;??_ ;_ @_ "/>
    <numFmt numFmtId="176" formatCode="0_);\(0\)"/>
    <numFmt numFmtId="177" formatCode="#,##0_ "/>
    <numFmt numFmtId="178" formatCode="#,##0_);[Red]\(#,##0\)"/>
    <numFmt numFmtId="179" formatCode="0_ "/>
    <numFmt numFmtId="180" formatCode="0_);[Red]\(0\)"/>
    <numFmt numFmtId="181" formatCode="0.00_ "/>
    <numFmt numFmtId="182" formatCode="0.00_);[Red]\(0.00\)"/>
    <numFmt numFmtId="183" formatCode="0.000_);[Red]\(0.000\)"/>
    <numFmt numFmtId="184" formatCode="0.0_);\(0.0\)"/>
    <numFmt numFmtId="185" formatCode="0.0_);[Red]\(0.0\)"/>
    <numFmt numFmtId="186" formatCode="#,##0.0_);[Red]\(#,##0.0\)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b/>
      <sz val="28"/>
      <color theme="1"/>
      <name val="宋体"/>
      <family val="3"/>
      <charset val="134"/>
    </font>
    <font>
      <sz val="28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4"/>
      <color theme="0"/>
      <name val="宋体"/>
      <family val="3"/>
      <charset val="134"/>
    </font>
    <font>
      <b/>
      <sz val="14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宋体"/>
      <family val="3"/>
      <charset val="134"/>
    </font>
    <font>
      <sz val="14"/>
      <color rgb="FF000000"/>
      <name val="宋体"/>
      <family val="3"/>
      <charset val="134"/>
    </font>
    <font>
      <b/>
      <sz val="14"/>
      <color rgb="FFFF0000"/>
      <name val="宋体"/>
      <family val="3"/>
      <charset val="134"/>
    </font>
    <font>
      <b/>
      <sz val="18"/>
      <name val="宋体"/>
      <family val="3"/>
      <charset val="134"/>
    </font>
    <font>
      <sz val="11"/>
      <color theme="0" tint="-0.49998474074526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color theme="5" tint="-0.249977111117893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DB6D8"/>
        <bgColor indexed="64"/>
      </patternFill>
    </fill>
    <fill>
      <patternFill patternType="solid">
        <fgColor rgb="FFA5D6A7"/>
        <bgColor indexed="64"/>
      </patternFill>
    </fill>
    <fill>
      <patternFill patternType="solid">
        <fgColor rgb="FFD7CCC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86">
    <xf numFmtId="0" fontId="0" fillId="0" borderId="0" xfId="0"/>
    <xf numFmtId="0" fontId="3" fillId="0" borderId="0" xfId="1">
      <alignment vertical="center"/>
    </xf>
    <xf numFmtId="180" fontId="3" fillId="0" borderId="0" xfId="1" applyNumberFormat="1">
      <alignment vertical="center"/>
    </xf>
    <xf numFmtId="0" fontId="9" fillId="0" borderId="0" xfId="1" applyFont="1" applyAlignment="1">
      <alignment vertical="center" wrapText="1"/>
    </xf>
    <xf numFmtId="0" fontId="9" fillId="0" borderId="2" xfId="1" applyFont="1" applyBorder="1">
      <alignment vertical="center"/>
    </xf>
    <xf numFmtId="0" fontId="9" fillId="0" borderId="3" xfId="1" applyFont="1" applyBorder="1" applyAlignment="1">
      <alignment vertical="center" wrapText="1"/>
    </xf>
    <xf numFmtId="0" fontId="13" fillId="0" borderId="1" xfId="1" applyFont="1" applyBorder="1" applyAlignment="1">
      <alignment horizontal="center" vertical="center" wrapText="1"/>
    </xf>
    <xf numFmtId="176" fontId="12" fillId="0" borderId="1" xfId="1" applyNumberFormat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/>
    </xf>
    <xf numFmtId="177" fontId="13" fillId="0" borderId="1" xfId="1" applyNumberFormat="1" applyFont="1" applyBorder="1" applyAlignment="1">
      <alignment horizontal="center" vertical="center" wrapText="1"/>
    </xf>
    <xf numFmtId="176" fontId="13" fillId="0" borderId="1" xfId="1" applyNumberFormat="1" applyFont="1" applyBorder="1" applyAlignment="1">
      <alignment horizontal="center" vertical="center" wrapText="1"/>
    </xf>
    <xf numFmtId="0" fontId="13" fillId="2" borderId="1" xfId="1" applyFont="1" applyFill="1" applyBorder="1" applyAlignment="1">
      <alignment horizontal="center" vertical="center" wrapText="1"/>
    </xf>
    <xf numFmtId="184" fontId="13" fillId="0" borderId="1" xfId="1" applyNumberFormat="1" applyFont="1" applyBorder="1" applyAlignment="1">
      <alignment horizontal="center" vertical="center" wrapText="1"/>
    </xf>
    <xf numFmtId="9" fontId="13" fillId="0" borderId="1" xfId="2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center" wrapText="1"/>
    </xf>
    <xf numFmtId="1" fontId="14" fillId="0" borderId="1" xfId="1" applyNumberFormat="1" applyFont="1" applyBorder="1" applyAlignment="1">
      <alignment horizontal="center" vertical="center" shrinkToFit="1"/>
    </xf>
    <xf numFmtId="0" fontId="9" fillId="0" borderId="5" xfId="1" applyFont="1" applyBorder="1" applyAlignment="1">
      <alignment horizontal="center" vertical="center" wrapText="1"/>
    </xf>
    <xf numFmtId="0" fontId="9" fillId="0" borderId="1" xfId="1" applyFont="1" applyBorder="1">
      <alignment vertical="center"/>
    </xf>
    <xf numFmtId="0" fontId="9" fillId="0" borderId="2" xfId="1" applyFont="1" applyBorder="1" applyAlignment="1">
      <alignment vertical="center" wrapText="1"/>
    </xf>
    <xf numFmtId="180" fontId="13" fillId="0" borderId="1" xfId="1" applyNumberFormat="1" applyFont="1" applyBorder="1" applyAlignment="1">
      <alignment horizontal="center" vertical="center" wrapText="1"/>
    </xf>
    <xf numFmtId="180" fontId="12" fillId="0" borderId="1" xfId="1" applyNumberFormat="1" applyFont="1" applyBorder="1" applyAlignment="1">
      <alignment horizontal="center" vertical="center"/>
    </xf>
    <xf numFmtId="180" fontId="9" fillId="0" borderId="1" xfId="1" applyNumberFormat="1" applyFont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9" fillId="7" borderId="1" xfId="1" applyFont="1" applyFill="1" applyBorder="1" applyAlignment="1">
      <alignment horizontal="center" vertical="center" wrapText="1"/>
    </xf>
    <xf numFmtId="180" fontId="9" fillId="7" borderId="1" xfId="1" applyNumberFormat="1" applyFont="1" applyFill="1" applyBorder="1" applyAlignment="1">
      <alignment horizontal="center" vertical="center" wrapText="1"/>
    </xf>
    <xf numFmtId="0" fontId="13" fillId="7" borderId="1" xfId="1" applyFont="1" applyFill="1" applyBorder="1" applyAlignment="1">
      <alignment horizontal="center" vertical="center" wrapText="1"/>
    </xf>
    <xf numFmtId="0" fontId="9" fillId="8" borderId="1" xfId="1" applyFont="1" applyFill="1" applyBorder="1" applyAlignment="1">
      <alignment horizontal="center" vertical="center" wrapText="1"/>
    </xf>
    <xf numFmtId="180" fontId="9" fillId="8" borderId="1" xfId="1" applyNumberFormat="1" applyFont="1" applyFill="1" applyBorder="1" applyAlignment="1">
      <alignment horizontal="center" vertical="center" wrapText="1"/>
    </xf>
    <xf numFmtId="180" fontId="13" fillId="8" borderId="1" xfId="1" applyNumberFormat="1" applyFont="1" applyFill="1" applyBorder="1" applyAlignment="1">
      <alignment horizontal="center" vertical="center" wrapText="1"/>
    </xf>
    <xf numFmtId="0" fontId="9" fillId="0" borderId="0" xfId="1" applyFont="1" applyAlignment="1">
      <alignment horizontal="center" vertical="center" wrapText="1"/>
    </xf>
    <xf numFmtId="0" fontId="10" fillId="0" borderId="4" xfId="1" applyFont="1" applyBorder="1" applyAlignment="1">
      <alignment horizontal="center" vertical="center" wrapText="1"/>
    </xf>
    <xf numFmtId="0" fontId="9" fillId="0" borderId="6" xfId="1" applyFont="1" applyBorder="1" applyAlignment="1">
      <alignment horizontal="center" vertical="center" wrapText="1"/>
    </xf>
    <xf numFmtId="0" fontId="3" fillId="0" borderId="0" xfId="1" applyAlignment="1">
      <alignment horizontal="center" vertical="center"/>
    </xf>
    <xf numFmtId="0" fontId="17" fillId="0" borderId="0" xfId="1" applyFont="1">
      <alignment vertical="center"/>
    </xf>
    <xf numFmtId="0" fontId="17" fillId="0" borderId="1" xfId="1" applyFont="1" applyBorder="1" applyAlignment="1">
      <alignment horizontal="center" vertical="center"/>
    </xf>
    <xf numFmtId="0" fontId="9" fillId="7" borderId="5" xfId="1" applyFont="1" applyFill="1" applyBorder="1" applyAlignment="1">
      <alignment horizontal="center" vertical="center" wrapText="1"/>
    </xf>
    <xf numFmtId="178" fontId="9" fillId="0" borderId="3" xfId="1" applyNumberFormat="1" applyFont="1" applyBorder="1" applyAlignment="1">
      <alignment vertical="center" wrapText="1"/>
    </xf>
    <xf numFmtId="186" fontId="13" fillId="0" borderId="1" xfId="1" applyNumberFormat="1" applyFont="1" applyBorder="1" applyAlignment="1">
      <alignment horizontal="center" vertical="center" wrapText="1"/>
    </xf>
    <xf numFmtId="0" fontId="17" fillId="0" borderId="0" xfId="1" applyFont="1" applyAlignment="1">
      <alignment horizontal="center" vertical="center"/>
    </xf>
    <xf numFmtId="0" fontId="18" fillId="0" borderId="0" xfId="1" applyFont="1">
      <alignment vertical="center"/>
    </xf>
    <xf numFmtId="0" fontId="18" fillId="0" borderId="1" xfId="1" applyFont="1" applyBorder="1" applyAlignment="1">
      <alignment horizontal="center" vertical="center"/>
    </xf>
    <xf numFmtId="0" fontId="18" fillId="3" borderId="1" xfId="1" applyFont="1" applyFill="1" applyBorder="1" applyAlignment="1">
      <alignment horizontal="center" vertical="center"/>
    </xf>
    <xf numFmtId="0" fontId="18" fillId="10" borderId="1" xfId="1" applyFont="1" applyFill="1" applyBorder="1" applyAlignment="1">
      <alignment horizontal="center" vertical="center"/>
    </xf>
    <xf numFmtId="0" fontId="18" fillId="6" borderId="1" xfId="1" applyFont="1" applyFill="1" applyBorder="1" applyAlignment="1">
      <alignment horizontal="center" vertical="center"/>
    </xf>
    <xf numFmtId="0" fontId="18" fillId="4" borderId="1" xfId="1" applyFont="1" applyFill="1" applyBorder="1" applyAlignment="1">
      <alignment horizontal="center" vertical="center"/>
    </xf>
    <xf numFmtId="0" fontId="18" fillId="5" borderId="1" xfId="1" applyFont="1" applyFill="1" applyBorder="1" applyAlignment="1">
      <alignment horizontal="center" vertical="center"/>
    </xf>
    <xf numFmtId="0" fontId="20" fillId="0" borderId="1" xfId="1" applyFont="1" applyBorder="1" applyAlignment="1">
      <alignment horizontal="center" vertical="center"/>
    </xf>
    <xf numFmtId="0" fontId="18" fillId="0" borderId="11" xfId="1" applyFont="1" applyBorder="1" applyAlignment="1">
      <alignment vertical="top" wrapText="1"/>
    </xf>
    <xf numFmtId="0" fontId="18" fillId="0" borderId="0" xfId="1" applyFont="1" applyAlignment="1">
      <alignment horizontal="center" vertical="center"/>
    </xf>
    <xf numFmtId="1" fontId="13" fillId="0" borderId="1" xfId="1" applyNumberFormat="1" applyFont="1" applyBorder="1" applyAlignment="1">
      <alignment horizontal="right" vertical="center" wrapText="1"/>
    </xf>
    <xf numFmtId="1" fontId="9" fillId="0" borderId="1" xfId="1" applyNumberFormat="1" applyFont="1" applyBorder="1" applyAlignment="1">
      <alignment horizontal="right" vertical="center" wrapText="1"/>
    </xf>
    <xf numFmtId="1" fontId="18" fillId="0" borderId="1" xfId="1" applyNumberFormat="1" applyFont="1" applyBorder="1" applyAlignment="1">
      <alignment horizontal="center" vertical="center"/>
    </xf>
    <xf numFmtId="1" fontId="18" fillId="0" borderId="1" xfId="1" applyNumberFormat="1" applyFont="1" applyBorder="1" applyAlignment="1">
      <alignment horizontal="right" vertical="center"/>
    </xf>
    <xf numFmtId="180" fontId="18" fillId="0" borderId="1" xfId="1" applyNumberFormat="1" applyFont="1" applyBorder="1" applyAlignment="1">
      <alignment horizontal="right" vertical="center"/>
    </xf>
    <xf numFmtId="178" fontId="12" fillId="0" borderId="5" xfId="1" applyNumberFormat="1" applyFont="1" applyBorder="1" applyAlignment="1">
      <alignment vertical="center" wrapText="1"/>
    </xf>
    <xf numFmtId="0" fontId="5" fillId="0" borderId="0" xfId="3" applyFont="1" applyAlignment="1">
      <alignment horizontal="center" vertical="center" wrapText="1"/>
    </xf>
    <xf numFmtId="0" fontId="5" fillId="0" borderId="1" xfId="3" applyFont="1" applyBorder="1" applyAlignment="1">
      <alignment horizontal="left" vertical="center" wrapText="1"/>
    </xf>
    <xf numFmtId="0" fontId="5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right" vertical="center" wrapText="1"/>
    </xf>
    <xf numFmtId="185" fontId="5" fillId="0" borderId="1" xfId="3" applyNumberFormat="1" applyFont="1" applyBorder="1" applyAlignment="1">
      <alignment horizontal="center" vertical="center" wrapText="1"/>
    </xf>
    <xf numFmtId="183" fontId="5" fillId="0" borderId="1" xfId="3" applyNumberFormat="1" applyFont="1" applyBorder="1" applyAlignment="1">
      <alignment horizontal="center" vertical="center" wrapText="1"/>
    </xf>
    <xf numFmtId="182" fontId="5" fillId="0" borderId="1" xfId="3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left" vertical="center"/>
    </xf>
    <xf numFmtId="185" fontId="5" fillId="0" borderId="1" xfId="1" applyNumberFormat="1" applyFont="1" applyBorder="1" applyAlignment="1">
      <alignment horizontal="center" vertical="center"/>
    </xf>
    <xf numFmtId="182" fontId="5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/>
    </xf>
    <xf numFmtId="0" fontId="5" fillId="0" borderId="1" xfId="1" applyFont="1" applyBorder="1" applyAlignment="1"/>
    <xf numFmtId="0" fontId="5" fillId="0" borderId="0" xfId="1" applyFont="1" applyAlignment="1"/>
    <xf numFmtId="0" fontId="5" fillId="0" borderId="0" xfId="1" applyFont="1" applyAlignment="1">
      <alignment horizontal="center"/>
    </xf>
    <xf numFmtId="183" fontId="5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1" xfId="3" quotePrefix="1" applyFont="1" applyBorder="1" applyAlignment="1">
      <alignment horizontal="center" vertical="center" wrapText="1"/>
    </xf>
    <xf numFmtId="0" fontId="5" fillId="0" borderId="0" xfId="1" applyFont="1">
      <alignment vertical="center"/>
    </xf>
    <xf numFmtId="0" fontId="5" fillId="0" borderId="0" xfId="1" applyFont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1" applyFont="1" applyBorder="1">
      <alignment vertical="center"/>
    </xf>
    <xf numFmtId="185" fontId="5" fillId="0" borderId="0" xfId="1" applyNumberFormat="1" applyFont="1">
      <alignment vertical="center"/>
    </xf>
    <xf numFmtId="43" fontId="5" fillId="0" borderId="0" xfId="1" applyNumberFormat="1" applyFont="1">
      <alignment vertical="center"/>
    </xf>
    <xf numFmtId="0" fontId="5" fillId="0" borderId="5" xfId="1" applyFont="1" applyBorder="1">
      <alignment vertical="center"/>
    </xf>
    <xf numFmtId="0" fontId="5" fillId="0" borderId="5" xfId="1" applyFont="1" applyBorder="1" applyAlignment="1">
      <alignment horizontal="left" vertical="center"/>
    </xf>
    <xf numFmtId="0" fontId="5" fillId="0" borderId="5" xfId="1" applyFont="1" applyBorder="1" applyAlignment="1">
      <alignment horizontal="center" vertical="center"/>
    </xf>
    <xf numFmtId="0" fontId="5" fillId="0" borderId="5" xfId="3" applyFont="1" applyBorder="1" applyAlignment="1">
      <alignment horizontal="center" vertical="center" wrapText="1"/>
    </xf>
    <xf numFmtId="185" fontId="5" fillId="0" borderId="5" xfId="1" applyNumberFormat="1" applyFont="1" applyBorder="1" applyAlignment="1">
      <alignment horizontal="center" vertical="center"/>
    </xf>
    <xf numFmtId="182" fontId="5" fillId="0" borderId="5" xfId="1" applyNumberFormat="1" applyFont="1" applyBorder="1" applyAlignment="1">
      <alignment horizontal="center" vertical="center"/>
    </xf>
    <xf numFmtId="183" fontId="5" fillId="0" borderId="5" xfId="1" applyNumberFormat="1" applyFont="1" applyBorder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5" fillId="4" borderId="0" xfId="3" applyFont="1" applyFill="1" applyAlignment="1">
      <alignment horizontal="center" vertical="center" wrapText="1"/>
    </xf>
    <xf numFmtId="0" fontId="6" fillId="4" borderId="1" xfId="3" applyFont="1" applyFill="1" applyBorder="1" applyAlignment="1">
      <alignment horizontal="left" vertical="center" wrapText="1"/>
    </xf>
    <xf numFmtId="0" fontId="5" fillId="4" borderId="1" xfId="1" applyFont="1" applyFill="1" applyBorder="1" applyAlignment="1">
      <alignment horizontal="left" vertical="center"/>
    </xf>
    <xf numFmtId="0" fontId="5" fillId="4" borderId="1" xfId="3" applyFont="1" applyFill="1" applyBorder="1" applyAlignment="1">
      <alignment horizontal="center" vertical="center" wrapText="1"/>
    </xf>
    <xf numFmtId="185" fontId="5" fillId="4" borderId="1" xfId="1" applyNumberFormat="1" applyFont="1" applyFill="1" applyBorder="1" applyAlignment="1">
      <alignment horizontal="center" vertical="center"/>
    </xf>
    <xf numFmtId="183" fontId="5" fillId="4" borderId="1" xfId="3" applyNumberFormat="1" applyFont="1" applyFill="1" applyBorder="1" applyAlignment="1">
      <alignment horizontal="center" vertical="center" wrapText="1"/>
    </xf>
    <xf numFmtId="182" fontId="5" fillId="4" borderId="1" xfId="1" applyNumberFormat="1" applyFont="1" applyFill="1" applyBorder="1" applyAlignment="1">
      <alignment horizontal="center" vertical="center"/>
    </xf>
    <xf numFmtId="0" fontId="5" fillId="4" borderId="1" xfId="3" applyFont="1" applyFill="1" applyBorder="1" applyAlignment="1">
      <alignment horizontal="right" vertical="center" wrapText="1"/>
    </xf>
    <xf numFmtId="0" fontId="5" fillId="4" borderId="0" xfId="1" applyFont="1" applyFill="1" applyAlignment="1"/>
    <xf numFmtId="0" fontId="5" fillId="4" borderId="1" xfId="3" applyFont="1" applyFill="1" applyBorder="1" applyAlignment="1" applyProtection="1">
      <alignment horizontal="center" vertical="center" wrapText="1"/>
      <protection locked="0"/>
    </xf>
    <xf numFmtId="185" fontId="5" fillId="4" borderId="1" xfId="3" applyNumberFormat="1" applyFont="1" applyFill="1" applyBorder="1" applyAlignment="1">
      <alignment horizontal="center" vertical="center" wrapText="1"/>
    </xf>
    <xf numFmtId="182" fontId="5" fillId="4" borderId="1" xfId="3" applyNumberFormat="1" applyFont="1" applyFill="1" applyBorder="1" applyAlignment="1">
      <alignment horizontal="center" vertical="center" wrapText="1"/>
    </xf>
    <xf numFmtId="0" fontId="5" fillId="11" borderId="0" xfId="3" applyFont="1" applyFill="1" applyAlignment="1">
      <alignment horizontal="center" vertical="center" wrapText="1"/>
    </xf>
    <xf numFmtId="0" fontId="6" fillId="11" borderId="1" xfId="3" applyFont="1" applyFill="1" applyBorder="1" applyAlignment="1">
      <alignment horizontal="left" vertical="center" wrapText="1"/>
    </xf>
    <xf numFmtId="0" fontId="5" fillId="11" borderId="1" xfId="1" applyFont="1" applyFill="1" applyBorder="1" applyAlignment="1">
      <alignment horizontal="left" vertical="center"/>
    </xf>
    <xf numFmtId="0" fontId="5" fillId="11" borderId="1" xfId="3" applyFont="1" applyFill="1" applyBorder="1" applyAlignment="1">
      <alignment horizontal="center" vertical="center" wrapText="1"/>
    </xf>
    <xf numFmtId="185" fontId="5" fillId="11" borderId="1" xfId="1" applyNumberFormat="1" applyFont="1" applyFill="1" applyBorder="1" applyAlignment="1">
      <alignment horizontal="center" vertical="center"/>
    </xf>
    <xf numFmtId="183" fontId="5" fillId="11" borderId="1" xfId="3" applyNumberFormat="1" applyFont="1" applyFill="1" applyBorder="1" applyAlignment="1">
      <alignment horizontal="center" vertical="center" wrapText="1"/>
    </xf>
    <xf numFmtId="182" fontId="5" fillId="11" borderId="1" xfId="1" applyNumberFormat="1" applyFont="1" applyFill="1" applyBorder="1" applyAlignment="1">
      <alignment horizontal="center" vertical="center"/>
    </xf>
    <xf numFmtId="0" fontId="5" fillId="11" borderId="0" xfId="1" applyFont="1" applyFill="1" applyAlignment="1"/>
    <xf numFmtId="0" fontId="5" fillId="11" borderId="1" xfId="3" applyFont="1" applyFill="1" applyBorder="1" applyAlignment="1">
      <alignment horizontal="right" vertical="center" wrapText="1"/>
    </xf>
    <xf numFmtId="0" fontId="5" fillId="11" borderId="1" xfId="3" applyFont="1" applyFill="1" applyBorder="1" applyAlignment="1">
      <alignment horizontal="left" vertical="center" wrapText="1"/>
    </xf>
    <xf numFmtId="0" fontId="5" fillId="11" borderId="1" xfId="3" applyFont="1" applyFill="1" applyBorder="1" applyAlignment="1" applyProtection="1">
      <alignment horizontal="center" vertical="center" wrapText="1"/>
      <protection locked="0"/>
    </xf>
    <xf numFmtId="185" fontId="5" fillId="11" borderId="1" xfId="3" applyNumberFormat="1" applyFont="1" applyFill="1" applyBorder="1" applyAlignment="1">
      <alignment horizontal="center" vertical="center" wrapText="1"/>
    </xf>
    <xf numFmtId="182" fontId="5" fillId="11" borderId="1" xfId="3" applyNumberFormat="1" applyFont="1" applyFill="1" applyBorder="1" applyAlignment="1">
      <alignment horizontal="center" vertical="center" wrapText="1"/>
    </xf>
    <xf numFmtId="0" fontId="5" fillId="5" borderId="0" xfId="3" applyFont="1" applyFill="1" applyAlignment="1">
      <alignment horizontal="center" vertical="center" wrapText="1"/>
    </xf>
    <xf numFmtId="0" fontId="6" fillId="5" borderId="1" xfId="3" applyFont="1" applyFill="1" applyBorder="1" applyAlignment="1">
      <alignment horizontal="left" vertical="center" wrapText="1"/>
    </xf>
    <xf numFmtId="0" fontId="5" fillId="5" borderId="1" xfId="1" applyFont="1" applyFill="1" applyBorder="1" applyAlignment="1">
      <alignment horizontal="left" vertical="center"/>
    </xf>
    <xf numFmtId="0" fontId="5" fillId="5" borderId="1" xfId="3" applyFont="1" applyFill="1" applyBorder="1" applyAlignment="1">
      <alignment horizontal="center" vertical="center" wrapText="1"/>
    </xf>
    <xf numFmtId="185" fontId="5" fillId="5" borderId="1" xfId="1" applyNumberFormat="1" applyFont="1" applyFill="1" applyBorder="1" applyAlignment="1">
      <alignment horizontal="center" vertical="center"/>
    </xf>
    <xf numFmtId="183" fontId="5" fillId="5" borderId="1" xfId="3" applyNumberFormat="1" applyFont="1" applyFill="1" applyBorder="1" applyAlignment="1">
      <alignment horizontal="center" vertical="center" wrapText="1"/>
    </xf>
    <xf numFmtId="182" fontId="5" fillId="5" borderId="1" xfId="1" applyNumberFormat="1" applyFont="1" applyFill="1" applyBorder="1" applyAlignment="1">
      <alignment horizontal="center" vertical="center"/>
    </xf>
    <xf numFmtId="0" fontId="5" fillId="5" borderId="1" xfId="3" applyFont="1" applyFill="1" applyBorder="1" applyAlignment="1">
      <alignment horizontal="right" vertical="center" wrapText="1"/>
    </xf>
    <xf numFmtId="0" fontId="5" fillId="5" borderId="0" xfId="1" applyFont="1" applyFill="1" applyAlignment="1"/>
    <xf numFmtId="0" fontId="5" fillId="5" borderId="0" xfId="1" applyFont="1" applyFill="1" applyAlignment="1">
      <alignment horizontal="left" vertical="center"/>
    </xf>
    <xf numFmtId="0" fontId="5" fillId="5" borderId="1" xfId="3" applyFont="1" applyFill="1" applyBorder="1" applyAlignment="1" applyProtection="1">
      <alignment horizontal="center" vertical="center" wrapText="1"/>
      <protection locked="0"/>
    </xf>
    <xf numFmtId="185" fontId="5" fillId="5" borderId="1" xfId="3" applyNumberFormat="1" applyFont="1" applyFill="1" applyBorder="1" applyAlignment="1">
      <alignment horizontal="center" vertical="center" wrapText="1"/>
    </xf>
    <xf numFmtId="182" fontId="5" fillId="5" borderId="1" xfId="3" applyNumberFormat="1" applyFont="1" applyFill="1" applyBorder="1" applyAlignment="1">
      <alignment horizontal="center" vertical="center" wrapText="1"/>
    </xf>
    <xf numFmtId="0" fontId="5" fillId="12" borderId="1" xfId="3" applyFont="1" applyFill="1" applyBorder="1" applyAlignment="1">
      <alignment horizontal="right" vertical="center" wrapText="1"/>
    </xf>
    <xf numFmtId="0" fontId="5" fillId="13" borderId="0" xfId="3" applyFont="1" applyFill="1" applyAlignment="1">
      <alignment horizontal="center" vertical="center" wrapText="1"/>
    </xf>
    <xf numFmtId="0" fontId="5" fillId="13" borderId="1" xfId="3" applyFont="1" applyFill="1" applyBorder="1" applyAlignment="1">
      <alignment horizontal="left" vertical="center" wrapText="1"/>
    </xf>
    <xf numFmtId="0" fontId="5" fillId="13" borderId="1" xfId="3" applyFont="1" applyFill="1" applyBorder="1" applyAlignment="1">
      <alignment horizontal="center" vertical="center" wrapText="1"/>
    </xf>
    <xf numFmtId="185" fontId="5" fillId="13" borderId="1" xfId="1" applyNumberFormat="1" applyFont="1" applyFill="1" applyBorder="1" applyAlignment="1">
      <alignment horizontal="center" vertical="center"/>
    </xf>
    <xf numFmtId="183" fontId="5" fillId="13" borderId="1" xfId="1" applyNumberFormat="1" applyFont="1" applyFill="1" applyBorder="1" applyAlignment="1">
      <alignment horizontal="center" vertical="center"/>
    </xf>
    <xf numFmtId="182" fontId="5" fillId="13" borderId="1" xfId="1" applyNumberFormat="1" applyFont="1" applyFill="1" applyBorder="1" applyAlignment="1">
      <alignment horizontal="center" vertical="center"/>
    </xf>
    <xf numFmtId="0" fontId="5" fillId="13" borderId="1" xfId="1" applyFont="1" applyFill="1" applyBorder="1" applyAlignment="1">
      <alignment horizontal="center" vertical="center"/>
    </xf>
    <xf numFmtId="0" fontId="5" fillId="13" borderId="1" xfId="3" quotePrefix="1" applyFont="1" applyFill="1" applyBorder="1" applyAlignment="1">
      <alignment horizontal="center" vertical="center" wrapText="1"/>
    </xf>
    <xf numFmtId="0" fontId="5" fillId="13" borderId="1" xfId="3" applyFont="1" applyFill="1" applyBorder="1" applyAlignment="1">
      <alignment horizontal="right" vertical="center" wrapText="1"/>
    </xf>
    <xf numFmtId="185" fontId="5" fillId="13" borderId="1" xfId="3" applyNumberFormat="1" applyFont="1" applyFill="1" applyBorder="1" applyAlignment="1">
      <alignment horizontal="center" vertical="center" wrapText="1"/>
    </xf>
    <xf numFmtId="0" fontId="5" fillId="14" borderId="0" xfId="3" applyFont="1" applyFill="1" applyAlignment="1">
      <alignment horizontal="center" vertical="center" wrapText="1"/>
    </xf>
    <xf numFmtId="0" fontId="5" fillId="14" borderId="1" xfId="3" applyFont="1" applyFill="1" applyBorder="1" applyAlignment="1">
      <alignment horizontal="left" vertical="center" wrapText="1"/>
    </xf>
    <xf numFmtId="0" fontId="5" fillId="14" borderId="1" xfId="3" applyFont="1" applyFill="1" applyBorder="1" applyAlignment="1">
      <alignment horizontal="center" vertical="center" wrapText="1"/>
    </xf>
    <xf numFmtId="185" fontId="5" fillId="14" borderId="1" xfId="3" applyNumberFormat="1" applyFont="1" applyFill="1" applyBorder="1" applyAlignment="1">
      <alignment horizontal="center" vertical="center" wrapText="1"/>
    </xf>
    <xf numFmtId="183" fontId="5" fillId="14" borderId="1" xfId="1" applyNumberFormat="1" applyFont="1" applyFill="1" applyBorder="1" applyAlignment="1">
      <alignment horizontal="center" vertical="center"/>
    </xf>
    <xf numFmtId="182" fontId="5" fillId="14" borderId="1" xfId="1" applyNumberFormat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5" fillId="14" borderId="1" xfId="3" quotePrefix="1" applyFont="1" applyFill="1" applyBorder="1" applyAlignment="1">
      <alignment horizontal="center" vertical="center" wrapText="1"/>
    </xf>
    <xf numFmtId="0" fontId="5" fillId="14" borderId="1" xfId="3" applyFont="1" applyFill="1" applyBorder="1" applyAlignment="1">
      <alignment horizontal="right" vertical="center" wrapText="1"/>
    </xf>
    <xf numFmtId="0" fontId="5" fillId="15" borderId="0" xfId="3" applyFont="1" applyFill="1" applyAlignment="1">
      <alignment horizontal="center" vertical="center" wrapText="1"/>
    </xf>
    <xf numFmtId="0" fontId="5" fillId="15" borderId="1" xfId="3" applyFont="1" applyFill="1" applyBorder="1" applyAlignment="1">
      <alignment horizontal="left" vertical="center" wrapText="1"/>
    </xf>
    <xf numFmtId="0" fontId="5" fillId="15" borderId="1" xfId="3" applyFont="1" applyFill="1" applyBorder="1" applyAlignment="1">
      <alignment horizontal="center" vertical="center" wrapText="1"/>
    </xf>
    <xf numFmtId="185" fontId="5" fillId="15" borderId="1" xfId="3" applyNumberFormat="1" applyFont="1" applyFill="1" applyBorder="1" applyAlignment="1">
      <alignment horizontal="center" vertical="center" wrapText="1"/>
    </xf>
    <xf numFmtId="183" fontId="5" fillId="15" borderId="1" xfId="1" applyNumberFormat="1" applyFont="1" applyFill="1" applyBorder="1" applyAlignment="1">
      <alignment horizontal="center" vertical="center"/>
    </xf>
    <xf numFmtId="182" fontId="5" fillId="15" borderId="1" xfId="1" applyNumberFormat="1" applyFont="1" applyFill="1" applyBorder="1" applyAlignment="1">
      <alignment horizontal="center" vertical="center"/>
    </xf>
    <xf numFmtId="0" fontId="5" fillId="15" borderId="1" xfId="1" applyFont="1" applyFill="1" applyBorder="1" applyAlignment="1">
      <alignment horizontal="center" vertical="center"/>
    </xf>
    <xf numFmtId="0" fontId="5" fillId="15" borderId="1" xfId="3" quotePrefix="1" applyFont="1" applyFill="1" applyBorder="1" applyAlignment="1">
      <alignment horizontal="center" vertical="center" wrapText="1"/>
    </xf>
    <xf numFmtId="0" fontId="5" fillId="15" borderId="1" xfId="3" applyFont="1" applyFill="1" applyBorder="1" applyAlignment="1">
      <alignment horizontal="right" vertical="center" wrapText="1"/>
    </xf>
    <xf numFmtId="185" fontId="5" fillId="14" borderId="1" xfId="1" applyNumberFormat="1" applyFont="1" applyFill="1" applyBorder="1" applyAlignment="1">
      <alignment horizontal="center" vertical="center"/>
    </xf>
    <xf numFmtId="176" fontId="13" fillId="0" borderId="2" xfId="1" applyNumberFormat="1" applyFont="1" applyBorder="1" applyAlignment="1">
      <alignment horizontal="center" vertical="center" wrapText="1"/>
    </xf>
    <xf numFmtId="176" fontId="13" fillId="0" borderId="3" xfId="1" applyNumberFormat="1" applyFont="1" applyBorder="1" applyAlignment="1">
      <alignment horizontal="center" vertical="center" wrapText="1"/>
    </xf>
    <xf numFmtId="176" fontId="13" fillId="0" borderId="6" xfId="1" applyNumberFormat="1" applyFont="1" applyBorder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13" fillId="0" borderId="5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8" xfId="1" applyFont="1" applyBorder="1" applyAlignment="1">
      <alignment horizontal="center" vertical="center" wrapText="1"/>
    </xf>
    <xf numFmtId="0" fontId="13" fillId="0" borderId="9" xfId="1" applyFont="1" applyBorder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0" fontId="13" fillId="0" borderId="13" xfId="1" applyFont="1" applyBorder="1" applyAlignment="1">
      <alignment horizontal="center" vertical="center" wrapText="1"/>
    </xf>
    <xf numFmtId="0" fontId="9" fillId="7" borderId="1" xfId="1" applyFont="1" applyFill="1" applyBorder="1" applyAlignment="1">
      <alignment horizontal="center" vertical="center" wrapText="1"/>
    </xf>
    <xf numFmtId="0" fontId="9" fillId="7" borderId="8" xfId="1" applyFont="1" applyFill="1" applyBorder="1" applyAlignment="1">
      <alignment horizontal="center" vertical="center" wrapText="1"/>
    </xf>
    <xf numFmtId="0" fontId="9" fillId="7" borderId="11" xfId="1" applyFont="1" applyFill="1" applyBorder="1" applyAlignment="1">
      <alignment horizontal="center" vertical="center" wrapText="1"/>
    </xf>
    <xf numFmtId="0" fontId="9" fillId="7" borderId="9" xfId="1" applyFont="1" applyFill="1" applyBorder="1" applyAlignment="1">
      <alignment horizontal="center" vertical="center" wrapText="1"/>
    </xf>
    <xf numFmtId="178" fontId="13" fillId="0" borderId="1" xfId="1" applyNumberFormat="1" applyFont="1" applyBorder="1" applyAlignment="1">
      <alignment horizontal="center" vertical="center" wrapText="1"/>
    </xf>
    <xf numFmtId="181" fontId="13" fillId="0" borderId="1" xfId="1" applyNumberFormat="1" applyFont="1" applyBorder="1" applyAlignment="1">
      <alignment horizontal="center" vertical="center" wrapText="1"/>
    </xf>
    <xf numFmtId="0" fontId="9" fillId="8" borderId="1" xfId="1" applyFont="1" applyFill="1" applyBorder="1" applyAlignment="1">
      <alignment horizontal="center" vertical="center" wrapText="1"/>
    </xf>
    <xf numFmtId="179" fontId="13" fillId="0" borderId="1" xfId="1" applyNumberFormat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13" fillId="0" borderId="1" xfId="1" applyFont="1" applyBorder="1" applyAlignment="1">
      <alignment horizontal="left" vertical="center" wrapText="1"/>
    </xf>
    <xf numFmtId="0" fontId="16" fillId="9" borderId="1" xfId="1" applyFont="1" applyFill="1" applyBorder="1" applyAlignment="1">
      <alignment horizontal="center" vertical="center" wrapText="1"/>
    </xf>
    <xf numFmtId="180" fontId="16" fillId="9" borderId="1" xfId="1" applyNumberFormat="1" applyFont="1" applyFill="1" applyBorder="1" applyAlignment="1">
      <alignment horizontal="center" vertical="center" wrapText="1"/>
    </xf>
    <xf numFmtId="0" fontId="15" fillId="0" borderId="0" xfId="1" applyFont="1" applyAlignment="1">
      <alignment horizontal="left" vertical="center" wrapText="1"/>
    </xf>
    <xf numFmtId="0" fontId="18" fillId="0" borderId="0" xfId="1" applyFont="1" applyAlignment="1">
      <alignment horizontal="left" vertical="center" wrapText="1"/>
    </xf>
    <xf numFmtId="0" fontId="7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left"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11" fillId="7" borderId="5" xfId="1" applyFont="1" applyFill="1" applyBorder="1" applyAlignment="1">
      <alignment horizontal="center" vertical="center" wrapText="1"/>
    </xf>
    <xf numFmtId="0" fontId="11" fillId="7" borderId="10" xfId="1" applyFont="1" applyFill="1" applyBorder="1" applyAlignment="1">
      <alignment horizontal="center" vertical="center" wrapText="1"/>
    </xf>
    <xf numFmtId="0" fontId="5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 wrapText="1"/>
    </xf>
  </cellXfs>
  <cellStyles count="4">
    <cellStyle name="百分比 2" xfId="2" xr:uid="{3AA35104-A4D9-4D44-A61A-4191B3A2F63C}"/>
    <cellStyle name="常规" xfId="0" builtinId="0"/>
    <cellStyle name="常规 11" xfId="3" xr:uid="{B165F456-2ABF-491F-B00B-25058979B92B}"/>
    <cellStyle name="常规 2" xfId="1" xr:uid="{8E3D6290-1963-43FB-83DB-6EB3D221A4C5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D7CCC8"/>
      <color rgb="FFA5D6A7"/>
      <color rgb="FF8DB6D8"/>
      <color rgb="FF7EA8C4"/>
      <color rgb="FF6C8EBF"/>
      <color rgb="FF99FF99"/>
      <color rgb="FFCCFF66"/>
      <color rgb="FF99FF66"/>
      <color rgb="FF00FF00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18206</xdr:rowOff>
    </xdr:from>
    <xdr:to>
      <xdr:col>2</xdr:col>
      <xdr:colOff>134472</xdr:colOff>
      <xdr:row>7</xdr:row>
      <xdr:rowOff>565912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A051082-EC9A-9895-8944-3CAE6B492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10177"/>
          <a:ext cx="3272119" cy="547706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</xdr:row>
      <xdr:rowOff>19050</xdr:rowOff>
    </xdr:from>
    <xdr:to>
      <xdr:col>10</xdr:col>
      <xdr:colOff>1419224</xdr:colOff>
      <xdr:row>5</xdr:row>
      <xdr:rowOff>0</xdr:rowOff>
    </xdr:to>
    <xdr:sp macro="[0]!xuanxing.xuanxing" textlink="">
      <xdr:nvSpPr>
        <xdr:cNvPr id="3" name="矩形 2">
          <a:extLst>
            <a:ext uri="{FF2B5EF4-FFF2-40B4-BE49-F238E27FC236}">
              <a16:creationId xmlns:a16="http://schemas.microsoft.com/office/drawing/2014/main" id="{32FFCD55-56A3-FC22-7FBE-A7E3F2744AB0}"/>
            </a:ext>
          </a:extLst>
        </xdr:cNvPr>
        <xdr:cNvSpPr/>
      </xdr:nvSpPr>
      <xdr:spPr>
        <a:xfrm>
          <a:off x="10153650" y="514350"/>
          <a:ext cx="5200649" cy="72390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4000">
              <a:solidFill>
                <a:sysClr val="windowText" lastClr="000000"/>
              </a:solidFill>
            </a:rPr>
            <a:t>选型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8D734-89AF-4882-AFF5-1CC853879E60}">
  <sheetPr codeName="Sheet6">
    <pageSetUpPr fitToPage="1"/>
  </sheetPr>
  <dimension ref="A1:Q129"/>
  <sheetViews>
    <sheetView tabSelected="1" zoomScaleNormal="100" workbookViewId="0">
      <selection activeCell="L6" sqref="L6"/>
    </sheetView>
  </sheetViews>
  <sheetFormatPr defaultRowHeight="14.25" x14ac:dyDescent="0.2"/>
  <cols>
    <col min="1" max="1" width="16.625" style="1" customWidth="1"/>
    <col min="2" max="2" width="24.625" style="1" customWidth="1"/>
    <col min="3" max="3" width="16.625" style="1" customWidth="1"/>
    <col min="4" max="4" width="25.25" style="1" bestFit="1" customWidth="1"/>
    <col min="5" max="10" width="16.625" style="1" customWidth="1"/>
    <col min="11" max="11" width="18.75" style="32" customWidth="1"/>
    <col min="12" max="12" width="18.875" style="1" bestFit="1" customWidth="1"/>
    <col min="13" max="13" width="11" style="1" bestFit="1" customWidth="1"/>
    <col min="14" max="15" width="9" style="1"/>
    <col min="16" max="16" width="11" style="1" bestFit="1" customWidth="1"/>
    <col min="17" max="18" width="9" style="1"/>
    <col min="19" max="19" width="13" style="1" bestFit="1" customWidth="1"/>
    <col min="20" max="20" width="9" style="1"/>
    <col min="21" max="21" width="13" style="1" bestFit="1" customWidth="1"/>
    <col min="22" max="23" width="9" style="1"/>
    <col min="24" max="24" width="11.375" style="1" bestFit="1" customWidth="1"/>
    <col min="25" max="255" width="9" style="1"/>
    <col min="256" max="258" width="16.625" style="1" customWidth="1"/>
    <col min="259" max="259" width="24" style="1" bestFit="1" customWidth="1"/>
    <col min="260" max="265" width="16.625" style="1" customWidth="1"/>
    <col min="266" max="266" width="18.75" style="1" customWidth="1"/>
    <col min="267" max="511" width="9" style="1"/>
    <col min="512" max="514" width="16.625" style="1" customWidth="1"/>
    <col min="515" max="515" width="24" style="1" bestFit="1" customWidth="1"/>
    <col min="516" max="521" width="16.625" style="1" customWidth="1"/>
    <col min="522" max="522" width="18.75" style="1" customWidth="1"/>
    <col min="523" max="767" width="9" style="1"/>
    <col min="768" max="770" width="16.625" style="1" customWidth="1"/>
    <col min="771" max="771" width="24" style="1" bestFit="1" customWidth="1"/>
    <col min="772" max="777" width="16.625" style="1" customWidth="1"/>
    <col min="778" max="778" width="18.75" style="1" customWidth="1"/>
    <col min="779" max="1023" width="9" style="1"/>
    <col min="1024" max="1026" width="16.625" style="1" customWidth="1"/>
    <col min="1027" max="1027" width="24" style="1" bestFit="1" customWidth="1"/>
    <col min="1028" max="1033" width="16.625" style="1" customWidth="1"/>
    <col min="1034" max="1034" width="18.75" style="1" customWidth="1"/>
    <col min="1035" max="1279" width="9" style="1"/>
    <col min="1280" max="1282" width="16.625" style="1" customWidth="1"/>
    <col min="1283" max="1283" width="24" style="1" bestFit="1" customWidth="1"/>
    <col min="1284" max="1289" width="16.625" style="1" customWidth="1"/>
    <col min="1290" max="1290" width="18.75" style="1" customWidth="1"/>
    <col min="1291" max="1535" width="9" style="1"/>
    <col min="1536" max="1538" width="16.625" style="1" customWidth="1"/>
    <col min="1539" max="1539" width="24" style="1" bestFit="1" customWidth="1"/>
    <col min="1540" max="1545" width="16.625" style="1" customWidth="1"/>
    <col min="1546" max="1546" width="18.75" style="1" customWidth="1"/>
    <col min="1547" max="1791" width="9" style="1"/>
    <col min="1792" max="1794" width="16.625" style="1" customWidth="1"/>
    <col min="1795" max="1795" width="24" style="1" bestFit="1" customWidth="1"/>
    <col min="1796" max="1801" width="16.625" style="1" customWidth="1"/>
    <col min="1802" max="1802" width="18.75" style="1" customWidth="1"/>
    <col min="1803" max="2047" width="9" style="1"/>
    <col min="2048" max="2050" width="16.625" style="1" customWidth="1"/>
    <col min="2051" max="2051" width="24" style="1" bestFit="1" customWidth="1"/>
    <col min="2052" max="2057" width="16.625" style="1" customWidth="1"/>
    <col min="2058" max="2058" width="18.75" style="1" customWidth="1"/>
    <col min="2059" max="2303" width="9" style="1"/>
    <col min="2304" max="2306" width="16.625" style="1" customWidth="1"/>
    <col min="2307" max="2307" width="24" style="1" bestFit="1" customWidth="1"/>
    <col min="2308" max="2313" width="16.625" style="1" customWidth="1"/>
    <col min="2314" max="2314" width="18.75" style="1" customWidth="1"/>
    <col min="2315" max="2559" width="9" style="1"/>
    <col min="2560" max="2562" width="16.625" style="1" customWidth="1"/>
    <col min="2563" max="2563" width="24" style="1" bestFit="1" customWidth="1"/>
    <col min="2564" max="2569" width="16.625" style="1" customWidth="1"/>
    <col min="2570" max="2570" width="18.75" style="1" customWidth="1"/>
    <col min="2571" max="2815" width="9" style="1"/>
    <col min="2816" max="2818" width="16.625" style="1" customWidth="1"/>
    <col min="2819" max="2819" width="24" style="1" bestFit="1" customWidth="1"/>
    <col min="2820" max="2825" width="16.625" style="1" customWidth="1"/>
    <col min="2826" max="2826" width="18.75" style="1" customWidth="1"/>
    <col min="2827" max="3071" width="9" style="1"/>
    <col min="3072" max="3074" width="16.625" style="1" customWidth="1"/>
    <col min="3075" max="3075" width="24" style="1" bestFit="1" customWidth="1"/>
    <col min="3076" max="3081" width="16.625" style="1" customWidth="1"/>
    <col min="3082" max="3082" width="18.75" style="1" customWidth="1"/>
    <col min="3083" max="3327" width="9" style="1"/>
    <col min="3328" max="3330" width="16.625" style="1" customWidth="1"/>
    <col min="3331" max="3331" width="24" style="1" bestFit="1" customWidth="1"/>
    <col min="3332" max="3337" width="16.625" style="1" customWidth="1"/>
    <col min="3338" max="3338" width="18.75" style="1" customWidth="1"/>
    <col min="3339" max="3583" width="9" style="1"/>
    <col min="3584" max="3586" width="16.625" style="1" customWidth="1"/>
    <col min="3587" max="3587" width="24" style="1" bestFit="1" customWidth="1"/>
    <col min="3588" max="3593" width="16.625" style="1" customWidth="1"/>
    <col min="3594" max="3594" width="18.75" style="1" customWidth="1"/>
    <col min="3595" max="3839" width="9" style="1"/>
    <col min="3840" max="3842" width="16.625" style="1" customWidth="1"/>
    <col min="3843" max="3843" width="24" style="1" bestFit="1" customWidth="1"/>
    <col min="3844" max="3849" width="16.625" style="1" customWidth="1"/>
    <col min="3850" max="3850" width="18.75" style="1" customWidth="1"/>
    <col min="3851" max="4095" width="9" style="1"/>
    <col min="4096" max="4098" width="16.625" style="1" customWidth="1"/>
    <col min="4099" max="4099" width="24" style="1" bestFit="1" customWidth="1"/>
    <col min="4100" max="4105" width="16.625" style="1" customWidth="1"/>
    <col min="4106" max="4106" width="18.75" style="1" customWidth="1"/>
    <col min="4107" max="4351" width="9" style="1"/>
    <col min="4352" max="4354" width="16.625" style="1" customWidth="1"/>
    <col min="4355" max="4355" width="24" style="1" bestFit="1" customWidth="1"/>
    <col min="4356" max="4361" width="16.625" style="1" customWidth="1"/>
    <col min="4362" max="4362" width="18.75" style="1" customWidth="1"/>
    <col min="4363" max="4607" width="9" style="1"/>
    <col min="4608" max="4610" width="16.625" style="1" customWidth="1"/>
    <col min="4611" max="4611" width="24" style="1" bestFit="1" customWidth="1"/>
    <col min="4612" max="4617" width="16.625" style="1" customWidth="1"/>
    <col min="4618" max="4618" width="18.75" style="1" customWidth="1"/>
    <col min="4619" max="4863" width="9" style="1"/>
    <col min="4864" max="4866" width="16.625" style="1" customWidth="1"/>
    <col min="4867" max="4867" width="24" style="1" bestFit="1" customWidth="1"/>
    <col min="4868" max="4873" width="16.625" style="1" customWidth="1"/>
    <col min="4874" max="4874" width="18.75" style="1" customWidth="1"/>
    <col min="4875" max="5119" width="9" style="1"/>
    <col min="5120" max="5122" width="16.625" style="1" customWidth="1"/>
    <col min="5123" max="5123" width="24" style="1" bestFit="1" customWidth="1"/>
    <col min="5124" max="5129" width="16.625" style="1" customWidth="1"/>
    <col min="5130" max="5130" width="18.75" style="1" customWidth="1"/>
    <col min="5131" max="5375" width="9" style="1"/>
    <col min="5376" max="5378" width="16.625" style="1" customWidth="1"/>
    <col min="5379" max="5379" width="24" style="1" bestFit="1" customWidth="1"/>
    <col min="5380" max="5385" width="16.625" style="1" customWidth="1"/>
    <col min="5386" max="5386" width="18.75" style="1" customWidth="1"/>
    <col min="5387" max="5631" width="9" style="1"/>
    <col min="5632" max="5634" width="16.625" style="1" customWidth="1"/>
    <col min="5635" max="5635" width="24" style="1" bestFit="1" customWidth="1"/>
    <col min="5636" max="5641" width="16.625" style="1" customWidth="1"/>
    <col min="5642" max="5642" width="18.75" style="1" customWidth="1"/>
    <col min="5643" max="5887" width="9" style="1"/>
    <col min="5888" max="5890" width="16.625" style="1" customWidth="1"/>
    <col min="5891" max="5891" width="24" style="1" bestFit="1" customWidth="1"/>
    <col min="5892" max="5897" width="16.625" style="1" customWidth="1"/>
    <col min="5898" max="5898" width="18.75" style="1" customWidth="1"/>
    <col min="5899" max="6143" width="9" style="1"/>
    <col min="6144" max="6146" width="16.625" style="1" customWidth="1"/>
    <col min="6147" max="6147" width="24" style="1" bestFit="1" customWidth="1"/>
    <col min="6148" max="6153" width="16.625" style="1" customWidth="1"/>
    <col min="6154" max="6154" width="18.75" style="1" customWidth="1"/>
    <col min="6155" max="6399" width="9" style="1"/>
    <col min="6400" max="6402" width="16.625" style="1" customWidth="1"/>
    <col min="6403" max="6403" width="24" style="1" bestFit="1" customWidth="1"/>
    <col min="6404" max="6409" width="16.625" style="1" customWidth="1"/>
    <col min="6410" max="6410" width="18.75" style="1" customWidth="1"/>
    <col min="6411" max="6655" width="9" style="1"/>
    <col min="6656" max="6658" width="16.625" style="1" customWidth="1"/>
    <col min="6659" max="6659" width="24" style="1" bestFit="1" customWidth="1"/>
    <col min="6660" max="6665" width="16.625" style="1" customWidth="1"/>
    <col min="6666" max="6666" width="18.75" style="1" customWidth="1"/>
    <col min="6667" max="6911" width="9" style="1"/>
    <col min="6912" max="6914" width="16.625" style="1" customWidth="1"/>
    <col min="6915" max="6915" width="24" style="1" bestFit="1" customWidth="1"/>
    <col min="6916" max="6921" width="16.625" style="1" customWidth="1"/>
    <col min="6922" max="6922" width="18.75" style="1" customWidth="1"/>
    <col min="6923" max="7167" width="9" style="1"/>
    <col min="7168" max="7170" width="16.625" style="1" customWidth="1"/>
    <col min="7171" max="7171" width="24" style="1" bestFit="1" customWidth="1"/>
    <col min="7172" max="7177" width="16.625" style="1" customWidth="1"/>
    <col min="7178" max="7178" width="18.75" style="1" customWidth="1"/>
    <col min="7179" max="7423" width="9" style="1"/>
    <col min="7424" max="7426" width="16.625" style="1" customWidth="1"/>
    <col min="7427" max="7427" width="24" style="1" bestFit="1" customWidth="1"/>
    <col min="7428" max="7433" width="16.625" style="1" customWidth="1"/>
    <col min="7434" max="7434" width="18.75" style="1" customWidth="1"/>
    <col min="7435" max="7679" width="9" style="1"/>
    <col min="7680" max="7682" width="16.625" style="1" customWidth="1"/>
    <col min="7683" max="7683" width="24" style="1" bestFit="1" customWidth="1"/>
    <col min="7684" max="7689" width="16.625" style="1" customWidth="1"/>
    <col min="7690" max="7690" width="18.75" style="1" customWidth="1"/>
    <col min="7691" max="7935" width="9" style="1"/>
    <col min="7936" max="7938" width="16.625" style="1" customWidth="1"/>
    <col min="7939" max="7939" width="24" style="1" bestFit="1" customWidth="1"/>
    <col min="7940" max="7945" width="16.625" style="1" customWidth="1"/>
    <col min="7946" max="7946" width="18.75" style="1" customWidth="1"/>
    <col min="7947" max="8191" width="9" style="1"/>
    <col min="8192" max="8194" width="16.625" style="1" customWidth="1"/>
    <col min="8195" max="8195" width="24" style="1" bestFit="1" customWidth="1"/>
    <col min="8196" max="8201" width="16.625" style="1" customWidth="1"/>
    <col min="8202" max="8202" width="18.75" style="1" customWidth="1"/>
    <col min="8203" max="8447" width="9" style="1"/>
    <col min="8448" max="8450" width="16.625" style="1" customWidth="1"/>
    <col min="8451" max="8451" width="24" style="1" bestFit="1" customWidth="1"/>
    <col min="8452" max="8457" width="16.625" style="1" customWidth="1"/>
    <col min="8458" max="8458" width="18.75" style="1" customWidth="1"/>
    <col min="8459" max="8703" width="9" style="1"/>
    <col min="8704" max="8706" width="16.625" style="1" customWidth="1"/>
    <col min="8707" max="8707" width="24" style="1" bestFit="1" customWidth="1"/>
    <col min="8708" max="8713" width="16.625" style="1" customWidth="1"/>
    <col min="8714" max="8714" width="18.75" style="1" customWidth="1"/>
    <col min="8715" max="8959" width="9" style="1"/>
    <col min="8960" max="8962" width="16.625" style="1" customWidth="1"/>
    <col min="8963" max="8963" width="24" style="1" bestFit="1" customWidth="1"/>
    <col min="8964" max="8969" width="16.625" style="1" customWidth="1"/>
    <col min="8970" max="8970" width="18.75" style="1" customWidth="1"/>
    <col min="8971" max="9215" width="9" style="1"/>
    <col min="9216" max="9218" width="16.625" style="1" customWidth="1"/>
    <col min="9219" max="9219" width="24" style="1" bestFit="1" customWidth="1"/>
    <col min="9220" max="9225" width="16.625" style="1" customWidth="1"/>
    <col min="9226" max="9226" width="18.75" style="1" customWidth="1"/>
    <col min="9227" max="9471" width="9" style="1"/>
    <col min="9472" max="9474" width="16.625" style="1" customWidth="1"/>
    <col min="9475" max="9475" width="24" style="1" bestFit="1" customWidth="1"/>
    <col min="9476" max="9481" width="16.625" style="1" customWidth="1"/>
    <col min="9482" max="9482" width="18.75" style="1" customWidth="1"/>
    <col min="9483" max="9727" width="9" style="1"/>
    <col min="9728" max="9730" width="16.625" style="1" customWidth="1"/>
    <col min="9731" max="9731" width="24" style="1" bestFit="1" customWidth="1"/>
    <col min="9732" max="9737" width="16.625" style="1" customWidth="1"/>
    <col min="9738" max="9738" width="18.75" style="1" customWidth="1"/>
    <col min="9739" max="9983" width="9" style="1"/>
    <col min="9984" max="9986" width="16.625" style="1" customWidth="1"/>
    <col min="9987" max="9987" width="24" style="1" bestFit="1" customWidth="1"/>
    <col min="9988" max="9993" width="16.625" style="1" customWidth="1"/>
    <col min="9994" max="9994" width="18.75" style="1" customWidth="1"/>
    <col min="9995" max="10239" width="9" style="1"/>
    <col min="10240" max="10242" width="16.625" style="1" customWidth="1"/>
    <col min="10243" max="10243" width="24" style="1" bestFit="1" customWidth="1"/>
    <col min="10244" max="10249" width="16.625" style="1" customWidth="1"/>
    <col min="10250" max="10250" width="18.75" style="1" customWidth="1"/>
    <col min="10251" max="10495" width="9" style="1"/>
    <col min="10496" max="10498" width="16.625" style="1" customWidth="1"/>
    <col min="10499" max="10499" width="24" style="1" bestFit="1" customWidth="1"/>
    <col min="10500" max="10505" width="16.625" style="1" customWidth="1"/>
    <col min="10506" max="10506" width="18.75" style="1" customWidth="1"/>
    <col min="10507" max="10751" width="9" style="1"/>
    <col min="10752" max="10754" width="16.625" style="1" customWidth="1"/>
    <col min="10755" max="10755" width="24" style="1" bestFit="1" customWidth="1"/>
    <col min="10756" max="10761" width="16.625" style="1" customWidth="1"/>
    <col min="10762" max="10762" width="18.75" style="1" customWidth="1"/>
    <col min="10763" max="11007" width="9" style="1"/>
    <col min="11008" max="11010" width="16.625" style="1" customWidth="1"/>
    <col min="11011" max="11011" width="24" style="1" bestFit="1" customWidth="1"/>
    <col min="11012" max="11017" width="16.625" style="1" customWidth="1"/>
    <col min="11018" max="11018" width="18.75" style="1" customWidth="1"/>
    <col min="11019" max="11263" width="9" style="1"/>
    <col min="11264" max="11266" width="16.625" style="1" customWidth="1"/>
    <col min="11267" max="11267" width="24" style="1" bestFit="1" customWidth="1"/>
    <col min="11268" max="11273" width="16.625" style="1" customWidth="1"/>
    <col min="11274" max="11274" width="18.75" style="1" customWidth="1"/>
    <col min="11275" max="11519" width="9" style="1"/>
    <col min="11520" max="11522" width="16.625" style="1" customWidth="1"/>
    <col min="11523" max="11523" width="24" style="1" bestFit="1" customWidth="1"/>
    <col min="11524" max="11529" width="16.625" style="1" customWidth="1"/>
    <col min="11530" max="11530" width="18.75" style="1" customWidth="1"/>
    <col min="11531" max="11775" width="9" style="1"/>
    <col min="11776" max="11778" width="16.625" style="1" customWidth="1"/>
    <col min="11779" max="11779" width="24" style="1" bestFit="1" customWidth="1"/>
    <col min="11780" max="11785" width="16.625" style="1" customWidth="1"/>
    <col min="11786" max="11786" width="18.75" style="1" customWidth="1"/>
    <col min="11787" max="12031" width="9" style="1"/>
    <col min="12032" max="12034" width="16.625" style="1" customWidth="1"/>
    <col min="12035" max="12035" width="24" style="1" bestFit="1" customWidth="1"/>
    <col min="12036" max="12041" width="16.625" style="1" customWidth="1"/>
    <col min="12042" max="12042" width="18.75" style="1" customWidth="1"/>
    <col min="12043" max="12287" width="9" style="1"/>
    <col min="12288" max="12290" width="16.625" style="1" customWidth="1"/>
    <col min="12291" max="12291" width="24" style="1" bestFit="1" customWidth="1"/>
    <col min="12292" max="12297" width="16.625" style="1" customWidth="1"/>
    <col min="12298" max="12298" width="18.75" style="1" customWidth="1"/>
    <col min="12299" max="12543" width="9" style="1"/>
    <col min="12544" max="12546" width="16.625" style="1" customWidth="1"/>
    <col min="12547" max="12547" width="24" style="1" bestFit="1" customWidth="1"/>
    <col min="12548" max="12553" width="16.625" style="1" customWidth="1"/>
    <col min="12554" max="12554" width="18.75" style="1" customWidth="1"/>
    <col min="12555" max="12799" width="9" style="1"/>
    <col min="12800" max="12802" width="16.625" style="1" customWidth="1"/>
    <col min="12803" max="12803" width="24" style="1" bestFit="1" customWidth="1"/>
    <col min="12804" max="12809" width="16.625" style="1" customWidth="1"/>
    <col min="12810" max="12810" width="18.75" style="1" customWidth="1"/>
    <col min="12811" max="13055" width="9" style="1"/>
    <col min="13056" max="13058" width="16.625" style="1" customWidth="1"/>
    <col min="13059" max="13059" width="24" style="1" bestFit="1" customWidth="1"/>
    <col min="13060" max="13065" width="16.625" style="1" customWidth="1"/>
    <col min="13066" max="13066" width="18.75" style="1" customWidth="1"/>
    <col min="13067" max="13311" width="9" style="1"/>
    <col min="13312" max="13314" width="16.625" style="1" customWidth="1"/>
    <col min="13315" max="13315" width="24" style="1" bestFit="1" customWidth="1"/>
    <col min="13316" max="13321" width="16.625" style="1" customWidth="1"/>
    <col min="13322" max="13322" width="18.75" style="1" customWidth="1"/>
    <col min="13323" max="13567" width="9" style="1"/>
    <col min="13568" max="13570" width="16.625" style="1" customWidth="1"/>
    <col min="13571" max="13571" width="24" style="1" bestFit="1" customWidth="1"/>
    <col min="13572" max="13577" width="16.625" style="1" customWidth="1"/>
    <col min="13578" max="13578" width="18.75" style="1" customWidth="1"/>
    <col min="13579" max="13823" width="9" style="1"/>
    <col min="13824" max="13826" width="16.625" style="1" customWidth="1"/>
    <col min="13827" max="13827" width="24" style="1" bestFit="1" customWidth="1"/>
    <col min="13828" max="13833" width="16.625" style="1" customWidth="1"/>
    <col min="13834" max="13834" width="18.75" style="1" customWidth="1"/>
    <col min="13835" max="14079" width="9" style="1"/>
    <col min="14080" max="14082" width="16.625" style="1" customWidth="1"/>
    <col min="14083" max="14083" width="24" style="1" bestFit="1" customWidth="1"/>
    <col min="14084" max="14089" width="16.625" style="1" customWidth="1"/>
    <col min="14090" max="14090" width="18.75" style="1" customWidth="1"/>
    <col min="14091" max="14335" width="9" style="1"/>
    <col min="14336" max="14338" width="16.625" style="1" customWidth="1"/>
    <col min="14339" max="14339" width="24" style="1" bestFit="1" customWidth="1"/>
    <col min="14340" max="14345" width="16.625" style="1" customWidth="1"/>
    <col min="14346" max="14346" width="18.75" style="1" customWidth="1"/>
    <col min="14347" max="14591" width="9" style="1"/>
    <col min="14592" max="14594" width="16.625" style="1" customWidth="1"/>
    <col min="14595" max="14595" width="24" style="1" bestFit="1" customWidth="1"/>
    <col min="14596" max="14601" width="16.625" style="1" customWidth="1"/>
    <col min="14602" max="14602" width="18.75" style="1" customWidth="1"/>
    <col min="14603" max="14847" width="9" style="1"/>
    <col min="14848" max="14850" width="16.625" style="1" customWidth="1"/>
    <col min="14851" max="14851" width="24" style="1" bestFit="1" customWidth="1"/>
    <col min="14852" max="14857" width="16.625" style="1" customWidth="1"/>
    <col min="14858" max="14858" width="18.75" style="1" customWidth="1"/>
    <col min="14859" max="15103" width="9" style="1"/>
    <col min="15104" max="15106" width="16.625" style="1" customWidth="1"/>
    <col min="15107" max="15107" width="24" style="1" bestFit="1" customWidth="1"/>
    <col min="15108" max="15113" width="16.625" style="1" customWidth="1"/>
    <col min="15114" max="15114" width="18.75" style="1" customWidth="1"/>
    <col min="15115" max="15359" width="9" style="1"/>
    <col min="15360" max="15362" width="16.625" style="1" customWidth="1"/>
    <col min="15363" max="15363" width="24" style="1" bestFit="1" customWidth="1"/>
    <col min="15364" max="15369" width="16.625" style="1" customWidth="1"/>
    <col min="15370" max="15370" width="18.75" style="1" customWidth="1"/>
    <col min="15371" max="15615" width="9" style="1"/>
    <col min="15616" max="15618" width="16.625" style="1" customWidth="1"/>
    <col min="15619" max="15619" width="24" style="1" bestFit="1" customWidth="1"/>
    <col min="15620" max="15625" width="16.625" style="1" customWidth="1"/>
    <col min="15626" max="15626" width="18.75" style="1" customWidth="1"/>
    <col min="15627" max="15871" width="9" style="1"/>
    <col min="15872" max="15874" width="16.625" style="1" customWidth="1"/>
    <col min="15875" max="15875" width="24" style="1" bestFit="1" customWidth="1"/>
    <col min="15876" max="15881" width="16.625" style="1" customWidth="1"/>
    <col min="15882" max="15882" width="18.75" style="1" customWidth="1"/>
    <col min="15883" max="16127" width="9" style="1"/>
    <col min="16128" max="16130" width="16.625" style="1" customWidth="1"/>
    <col min="16131" max="16131" width="24" style="1" bestFit="1" customWidth="1"/>
    <col min="16132" max="16137" width="16.625" style="1" customWidth="1"/>
    <col min="16138" max="16138" width="18.75" style="1" customWidth="1"/>
    <col min="16139" max="16384" width="9" style="1"/>
  </cols>
  <sheetData>
    <row r="1" spans="1:14" ht="20.100000000000001" customHeight="1" x14ac:dyDescent="0.2">
      <c r="A1" s="39" t="s">
        <v>428</v>
      </c>
      <c r="B1" s="40" t="s">
        <v>387</v>
      </c>
      <c r="C1" s="41" t="s">
        <v>463</v>
      </c>
      <c r="D1" s="42" t="s">
        <v>551</v>
      </c>
      <c r="E1" s="43" t="s">
        <v>396</v>
      </c>
      <c r="F1" s="42">
        <v>220</v>
      </c>
      <c r="G1" s="40"/>
      <c r="H1" s="40" t="s">
        <v>399</v>
      </c>
      <c r="I1" s="40" t="str">
        <f>D1</f>
        <v>12B</v>
      </c>
      <c r="J1" s="40" t="s">
        <v>400</v>
      </c>
      <c r="K1" s="40" t="str">
        <f>IF(D1="是", "11.2", "7.3")</f>
        <v>7.3</v>
      </c>
    </row>
    <row r="2" spans="1:14" ht="20.100000000000001" customHeight="1" x14ac:dyDescent="0.2">
      <c r="A2" s="39"/>
      <c r="B2" s="40" t="s">
        <v>388</v>
      </c>
      <c r="C2" s="44" t="s">
        <v>403</v>
      </c>
      <c r="D2" s="42" t="s">
        <v>404</v>
      </c>
      <c r="E2" s="45" t="s">
        <v>406</v>
      </c>
      <c r="F2" s="42">
        <v>1.1499999999999999</v>
      </c>
      <c r="G2" s="40"/>
      <c r="H2" s="40"/>
      <c r="I2" s="40"/>
      <c r="J2" s="40" t="s">
        <v>400</v>
      </c>
      <c r="K2" s="40">
        <f>IFERROR(VLOOKUP(D2,设备参数表!L:M,2,FALSE),0)</f>
        <v>35</v>
      </c>
    </row>
    <row r="3" spans="1:14" ht="20.100000000000001" customHeight="1" x14ac:dyDescent="0.2">
      <c r="A3" s="39" t="s">
        <v>429</v>
      </c>
      <c r="B3" s="40" t="s">
        <v>430</v>
      </c>
      <c r="C3" s="51">
        <f>G3/E3</f>
        <v>0</v>
      </c>
      <c r="D3" s="46" t="s">
        <v>417</v>
      </c>
      <c r="E3" s="42">
        <v>0.8</v>
      </c>
      <c r="F3" s="40" t="s">
        <v>431</v>
      </c>
      <c r="G3" s="52">
        <f>J69</f>
        <v>0</v>
      </c>
      <c r="H3" s="47"/>
      <c r="I3" s="47"/>
      <c r="J3" s="47"/>
      <c r="K3" s="47"/>
    </row>
    <row r="4" spans="1:14" ht="20.100000000000001" customHeight="1" x14ac:dyDescent="0.2">
      <c r="A4" s="39"/>
      <c r="B4" s="40" t="s">
        <v>437</v>
      </c>
      <c r="C4" s="40" t="e">
        <f>(J76+I99)/H73</f>
        <v>#DIV/0!</v>
      </c>
      <c r="D4" s="40" t="s">
        <v>496</v>
      </c>
      <c r="E4" s="42">
        <v>1</v>
      </c>
      <c r="F4" s="40" t="s">
        <v>432</v>
      </c>
      <c r="G4" s="53">
        <f>J76+I99</f>
        <v>2100</v>
      </c>
      <c r="H4" s="39"/>
      <c r="I4" s="39"/>
      <c r="J4" s="39"/>
      <c r="K4" s="39"/>
      <c r="L4" s="32"/>
    </row>
    <row r="5" spans="1:14" ht="20.100000000000001" customHeight="1" x14ac:dyDescent="0.2">
      <c r="A5" s="39"/>
      <c r="B5" s="40"/>
      <c r="C5" s="40"/>
      <c r="D5" s="40"/>
      <c r="E5" s="40"/>
      <c r="F5" s="40" t="s">
        <v>433</v>
      </c>
      <c r="G5" s="53">
        <f>G3+G4</f>
        <v>2100</v>
      </c>
      <c r="H5" s="39"/>
      <c r="I5" s="39"/>
      <c r="J5" s="39"/>
      <c r="K5" s="48"/>
    </row>
    <row r="6" spans="1:14" ht="129.75" customHeight="1" x14ac:dyDescent="0.2">
      <c r="A6" s="177" t="s">
        <v>440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</row>
    <row r="7" spans="1:14" ht="19.5" customHeight="1" x14ac:dyDescent="0.2"/>
    <row r="8" spans="1:14" ht="46.5" customHeight="1" x14ac:dyDescent="0.2">
      <c r="A8" s="178" t="s">
        <v>0</v>
      </c>
      <c r="B8" s="178"/>
      <c r="C8" s="178"/>
      <c r="D8" s="178"/>
      <c r="E8" s="178"/>
      <c r="F8" s="178"/>
      <c r="G8" s="178"/>
      <c r="H8" s="179"/>
      <c r="I8" s="180"/>
      <c r="J8" s="180"/>
      <c r="K8" s="180"/>
    </row>
    <row r="9" spans="1:14" ht="23.25" customHeight="1" x14ac:dyDescent="0.2">
      <c r="A9" s="3" t="s">
        <v>1</v>
      </c>
      <c r="B9" s="3"/>
      <c r="C9" s="3"/>
      <c r="D9" s="3"/>
      <c r="E9" s="3" t="s">
        <v>2</v>
      </c>
      <c r="F9" s="3"/>
      <c r="G9" s="3"/>
      <c r="H9" s="3"/>
      <c r="I9" s="3" t="s">
        <v>3</v>
      </c>
      <c r="J9" s="3"/>
      <c r="K9" s="29"/>
    </row>
    <row r="10" spans="1:14" ht="248.25" hidden="1" customHeight="1" x14ac:dyDescent="0.2">
      <c r="A10" s="173" t="s">
        <v>434</v>
      </c>
      <c r="B10" s="173"/>
      <c r="C10" s="173"/>
      <c r="D10" s="173"/>
      <c r="E10" s="173"/>
      <c r="F10" s="173"/>
      <c r="G10" s="173"/>
      <c r="H10" s="173"/>
      <c r="I10" s="173"/>
      <c r="J10" s="173"/>
      <c r="K10" s="173"/>
    </row>
    <row r="11" spans="1:14" ht="20.100000000000001" customHeight="1" x14ac:dyDescent="0.2">
      <c r="A11" s="4" t="s">
        <v>4</v>
      </c>
      <c r="B11" s="5"/>
      <c r="C11" s="5"/>
      <c r="D11" s="5"/>
      <c r="E11" s="5"/>
      <c r="F11" s="5"/>
      <c r="G11" s="5"/>
      <c r="H11" s="5"/>
      <c r="I11" s="5"/>
      <c r="J11" s="5"/>
      <c r="K11" s="30"/>
    </row>
    <row r="12" spans="1:14" ht="20.100000000000001" customHeight="1" x14ac:dyDescent="0.2">
      <c r="A12" s="181" t="s">
        <v>5</v>
      </c>
      <c r="B12" s="181" t="s">
        <v>6</v>
      </c>
      <c r="C12" s="22" t="s">
        <v>391</v>
      </c>
      <c r="D12" s="182" t="s">
        <v>395</v>
      </c>
      <c r="E12" s="181" t="s">
        <v>8</v>
      </c>
      <c r="F12" s="22" t="s">
        <v>9</v>
      </c>
      <c r="G12" s="22" t="s">
        <v>392</v>
      </c>
      <c r="H12" s="22" t="s">
        <v>397</v>
      </c>
      <c r="I12" s="22" t="s">
        <v>390</v>
      </c>
      <c r="J12" s="22" t="s">
        <v>10</v>
      </c>
      <c r="K12" s="22" t="s">
        <v>11</v>
      </c>
      <c r="L12" s="34" t="s">
        <v>405</v>
      </c>
      <c r="M12" s="34" t="s">
        <v>396</v>
      </c>
      <c r="N12" s="34" t="s">
        <v>441</v>
      </c>
    </row>
    <row r="13" spans="1:14" ht="20.100000000000001" customHeight="1" x14ac:dyDescent="0.2">
      <c r="A13" s="181"/>
      <c r="B13" s="181"/>
      <c r="C13" s="22" t="s">
        <v>394</v>
      </c>
      <c r="D13" s="183"/>
      <c r="E13" s="181"/>
      <c r="F13" s="22" t="s">
        <v>393</v>
      </c>
      <c r="G13" s="22" t="s">
        <v>316</v>
      </c>
      <c r="H13" s="22" t="s">
        <v>316</v>
      </c>
      <c r="I13" s="22" t="s">
        <v>389</v>
      </c>
      <c r="J13" s="22" t="s">
        <v>12</v>
      </c>
      <c r="K13" s="22" t="s">
        <v>13</v>
      </c>
      <c r="L13" s="34"/>
      <c r="M13" s="34"/>
      <c r="N13" s="34"/>
    </row>
    <row r="14" spans="1:14" ht="20.100000000000001" customHeight="1" x14ac:dyDescent="0.2">
      <c r="A14" s="34">
        <v>1</v>
      </c>
      <c r="B14" s="6"/>
      <c r="C14" s="6"/>
      <c r="D14" s="7"/>
      <c r="E14" s="8">
        <f t="shared" ref="E14:E33" si="0">ROUNDUP(C14*M14/1000/$K$1,0)</f>
        <v>0</v>
      </c>
      <c r="F14" s="6" t="str">
        <f>IFERROR(VLOOKUP(D14,设备参数表!D:O,8,FALSE),"-")</f>
        <v>-</v>
      </c>
      <c r="G14" s="6" t="str">
        <f>IFERROR(VLOOKUP(D14,设备参数表!D:O,4,FALSE)*1000,"-")</f>
        <v>-</v>
      </c>
      <c r="H14" s="6" t="str">
        <f>IFERROR(VLOOKUP(D14,设备参数表!D:O,6,FALSE)*1000,"-")</f>
        <v>-</v>
      </c>
      <c r="I14" s="9">
        <f>IFERROR(J14/C14,0)</f>
        <v>0</v>
      </c>
      <c r="J14" s="10">
        <f>IFERROR(G14*E14,0)</f>
        <v>0</v>
      </c>
      <c r="K14" s="54"/>
      <c r="L14" s="34">
        <v>1</v>
      </c>
      <c r="M14" s="34">
        <f t="shared" ref="M14:M33" si="1">$F$1</f>
        <v>220</v>
      </c>
      <c r="N14" s="34">
        <f>M14*C14</f>
        <v>0</v>
      </c>
    </row>
    <row r="15" spans="1:14" ht="20.100000000000001" customHeight="1" x14ac:dyDescent="0.2">
      <c r="A15" s="34">
        <v>1</v>
      </c>
      <c r="B15" s="6"/>
      <c r="C15" s="6"/>
      <c r="D15" s="7"/>
      <c r="E15" s="8">
        <f t="shared" si="0"/>
        <v>0</v>
      </c>
      <c r="F15" s="6" t="str">
        <f>IFERROR(VLOOKUP(D15,设备参数表!D:O,8,FALSE),"-")</f>
        <v>-</v>
      </c>
      <c r="G15" s="6" t="str">
        <f>IFERROR(VLOOKUP(D15,设备参数表!D:O,4,FALSE)*1000,"-")</f>
        <v>-</v>
      </c>
      <c r="H15" s="6" t="str">
        <f>IFERROR(VLOOKUP(D15,设备参数表!D:O,6,FALSE)*1000,"-")</f>
        <v>-</v>
      </c>
      <c r="I15" s="9">
        <f t="shared" ref="I15:I16" si="2">IFERROR(J15/C15,0)</f>
        <v>0</v>
      </c>
      <c r="J15" s="10">
        <f t="shared" ref="J15:J16" si="3">IFERROR(G15*E15,0)</f>
        <v>0</v>
      </c>
      <c r="K15" s="54"/>
      <c r="L15" s="34">
        <v>1</v>
      </c>
      <c r="M15" s="34">
        <f t="shared" si="1"/>
        <v>220</v>
      </c>
      <c r="N15" s="34">
        <f t="shared" ref="N15:N33" si="4">M15*C15</f>
        <v>0</v>
      </c>
    </row>
    <row r="16" spans="1:14" ht="20.100000000000001" customHeight="1" x14ac:dyDescent="0.2">
      <c r="A16" s="34">
        <v>1</v>
      </c>
      <c r="B16" s="6"/>
      <c r="C16" s="6"/>
      <c r="D16" s="7"/>
      <c r="E16" s="8">
        <f t="shared" si="0"/>
        <v>0</v>
      </c>
      <c r="F16" s="6" t="str">
        <f>IFERROR(VLOOKUP(D16,设备参数表!D:O,8,FALSE),"-")</f>
        <v>-</v>
      </c>
      <c r="G16" s="6" t="str">
        <f>IFERROR(VLOOKUP(D16,设备参数表!D:O,4,FALSE)*1000,"-")</f>
        <v>-</v>
      </c>
      <c r="H16" s="6" t="str">
        <f>IFERROR(VLOOKUP(D16,设备参数表!D:O,6,FALSE)*1000,"-")</f>
        <v>-</v>
      </c>
      <c r="I16" s="9">
        <f t="shared" si="2"/>
        <v>0</v>
      </c>
      <c r="J16" s="10">
        <f t="shared" si="3"/>
        <v>0</v>
      </c>
      <c r="K16" s="54"/>
      <c r="L16" s="34">
        <v>1</v>
      </c>
      <c r="M16" s="34">
        <f t="shared" si="1"/>
        <v>220</v>
      </c>
      <c r="N16" s="34">
        <f t="shared" si="4"/>
        <v>0</v>
      </c>
    </row>
    <row r="17" spans="1:15" ht="20.100000000000001" customHeight="1" x14ac:dyDescent="0.2">
      <c r="A17" s="34">
        <v>1</v>
      </c>
      <c r="B17" s="6"/>
      <c r="C17" s="6"/>
      <c r="D17" s="7"/>
      <c r="E17" s="8">
        <f t="shared" si="0"/>
        <v>0</v>
      </c>
      <c r="F17" s="6" t="str">
        <f>IFERROR(VLOOKUP(D17,设备参数表!D:O,8,FALSE),"-")</f>
        <v>-</v>
      </c>
      <c r="G17" s="6" t="str">
        <f>IFERROR(VLOOKUP(D17,设备参数表!D:O,4,FALSE)*1000,"-")</f>
        <v>-</v>
      </c>
      <c r="H17" s="6" t="str">
        <f>IFERROR(VLOOKUP(D17,设备参数表!D:O,6,FALSE)*1000,"-")</f>
        <v>-</v>
      </c>
      <c r="I17" s="9">
        <f t="shared" ref="I17:I24" si="5">IFERROR(J17/C17,0)</f>
        <v>0</v>
      </c>
      <c r="J17" s="10">
        <f t="shared" ref="J17:J24" si="6">IFERROR(G17*E17,0)</f>
        <v>0</v>
      </c>
      <c r="K17" s="54"/>
      <c r="L17" s="34">
        <v>1</v>
      </c>
      <c r="M17" s="34">
        <f t="shared" si="1"/>
        <v>220</v>
      </c>
      <c r="N17" s="34">
        <f t="shared" si="4"/>
        <v>0</v>
      </c>
    </row>
    <row r="18" spans="1:15" ht="20.100000000000001" customHeight="1" x14ac:dyDescent="0.2">
      <c r="A18" s="34">
        <v>2</v>
      </c>
      <c r="B18" s="6"/>
      <c r="C18" s="6"/>
      <c r="D18" s="7"/>
      <c r="E18" s="8">
        <f t="shared" si="0"/>
        <v>0</v>
      </c>
      <c r="F18" s="6" t="str">
        <f>IFERROR(VLOOKUP(D18,设备参数表!D:O,8,FALSE),"-")</f>
        <v>-</v>
      </c>
      <c r="G18" s="6" t="str">
        <f>IFERROR(VLOOKUP(D18,设备参数表!D:O,4,FALSE)*1000,"-")</f>
        <v>-</v>
      </c>
      <c r="H18" s="6" t="str">
        <f>IFERROR(VLOOKUP(D18,设备参数表!D:O,6,FALSE)*1000,"-")</f>
        <v>-</v>
      </c>
      <c r="I18" s="9">
        <f t="shared" si="5"/>
        <v>0</v>
      </c>
      <c r="J18" s="10">
        <f t="shared" si="6"/>
        <v>0</v>
      </c>
      <c r="K18" s="54"/>
      <c r="L18" s="34">
        <v>1</v>
      </c>
      <c r="M18" s="34">
        <f t="shared" si="1"/>
        <v>220</v>
      </c>
      <c r="N18" s="34">
        <f t="shared" si="4"/>
        <v>0</v>
      </c>
    </row>
    <row r="19" spans="1:15" ht="20.100000000000001" customHeight="1" x14ac:dyDescent="0.2">
      <c r="A19" s="34">
        <v>2</v>
      </c>
      <c r="B19" s="6"/>
      <c r="C19" s="6"/>
      <c r="D19" s="7"/>
      <c r="E19" s="8">
        <f t="shared" si="0"/>
        <v>0</v>
      </c>
      <c r="F19" s="6" t="str">
        <f>IFERROR(VLOOKUP(D19,设备参数表!D:O,8,FALSE),"-")</f>
        <v>-</v>
      </c>
      <c r="G19" s="6" t="str">
        <f>IFERROR(VLOOKUP(D19,设备参数表!D:O,4,FALSE)*1000,"-")</f>
        <v>-</v>
      </c>
      <c r="H19" s="6" t="str">
        <f>IFERROR(VLOOKUP(D19,设备参数表!D:O,6,FALSE)*1000,"-")</f>
        <v>-</v>
      </c>
      <c r="I19" s="9">
        <f t="shared" si="5"/>
        <v>0</v>
      </c>
      <c r="J19" s="10">
        <f t="shared" si="6"/>
        <v>0</v>
      </c>
      <c r="K19" s="54"/>
      <c r="L19" s="34">
        <v>1</v>
      </c>
      <c r="M19" s="34">
        <f t="shared" si="1"/>
        <v>220</v>
      </c>
      <c r="N19" s="34">
        <f t="shared" si="4"/>
        <v>0</v>
      </c>
    </row>
    <row r="20" spans="1:15" ht="20.100000000000001" customHeight="1" x14ac:dyDescent="0.2">
      <c r="A20" s="34">
        <v>2</v>
      </c>
      <c r="B20" s="6"/>
      <c r="C20" s="6"/>
      <c r="D20" s="7"/>
      <c r="E20" s="8">
        <f t="shared" si="0"/>
        <v>0</v>
      </c>
      <c r="F20" s="6" t="str">
        <f>IFERROR(VLOOKUP(D20,设备参数表!D:O,8,FALSE),"-")</f>
        <v>-</v>
      </c>
      <c r="G20" s="6" t="str">
        <f>IFERROR(VLOOKUP(D20,设备参数表!D:O,4,FALSE)*1000,"-")</f>
        <v>-</v>
      </c>
      <c r="H20" s="6" t="str">
        <f>IFERROR(VLOOKUP(D20,设备参数表!D:O,6,FALSE)*1000,"-")</f>
        <v>-</v>
      </c>
      <c r="I20" s="9">
        <f t="shared" si="5"/>
        <v>0</v>
      </c>
      <c r="J20" s="10">
        <f t="shared" si="6"/>
        <v>0</v>
      </c>
      <c r="K20" s="54"/>
      <c r="L20" s="34">
        <v>1</v>
      </c>
      <c r="M20" s="34">
        <f t="shared" si="1"/>
        <v>220</v>
      </c>
      <c r="N20" s="34">
        <f t="shared" si="4"/>
        <v>0</v>
      </c>
    </row>
    <row r="21" spans="1:15" ht="20.100000000000001" customHeight="1" x14ac:dyDescent="0.2">
      <c r="A21" s="34">
        <v>2</v>
      </c>
      <c r="B21" s="6"/>
      <c r="C21" s="6"/>
      <c r="D21" s="7"/>
      <c r="E21" s="8">
        <f t="shared" si="0"/>
        <v>0</v>
      </c>
      <c r="F21" s="6" t="str">
        <f>IFERROR(VLOOKUP(D21,设备参数表!D:O,8,FALSE),"-")</f>
        <v>-</v>
      </c>
      <c r="G21" s="6" t="str">
        <f>IFERROR(VLOOKUP(D21,设备参数表!D:O,4,FALSE)*1000,"-")</f>
        <v>-</v>
      </c>
      <c r="H21" s="6" t="str">
        <f>IFERROR(VLOOKUP(D21,设备参数表!D:O,6,FALSE)*1000,"-")</f>
        <v>-</v>
      </c>
      <c r="I21" s="9">
        <f t="shared" si="5"/>
        <v>0</v>
      </c>
      <c r="J21" s="10">
        <f t="shared" si="6"/>
        <v>0</v>
      </c>
      <c r="K21" s="54"/>
      <c r="L21" s="34">
        <v>1</v>
      </c>
      <c r="M21" s="34">
        <f t="shared" si="1"/>
        <v>220</v>
      </c>
      <c r="N21" s="34">
        <f t="shared" si="4"/>
        <v>0</v>
      </c>
    </row>
    <row r="22" spans="1:15" ht="20.100000000000001" customHeight="1" x14ac:dyDescent="0.2">
      <c r="A22" s="34">
        <v>3</v>
      </c>
      <c r="B22" s="6"/>
      <c r="C22" s="6"/>
      <c r="D22" s="7"/>
      <c r="E22" s="8">
        <f t="shared" si="0"/>
        <v>0</v>
      </c>
      <c r="F22" s="6" t="str">
        <f>IFERROR(VLOOKUP(D22,设备参数表!D:O,8,FALSE),"-")</f>
        <v>-</v>
      </c>
      <c r="G22" s="6" t="str">
        <f>IFERROR(VLOOKUP(D22,设备参数表!D:O,4,FALSE)*1000,"-")</f>
        <v>-</v>
      </c>
      <c r="H22" s="6" t="str">
        <f>IFERROR(VLOOKUP(D22,设备参数表!D:O,6,FALSE)*1000,"-")</f>
        <v>-</v>
      </c>
      <c r="I22" s="9">
        <f t="shared" si="5"/>
        <v>0</v>
      </c>
      <c r="J22" s="10">
        <f t="shared" si="6"/>
        <v>0</v>
      </c>
      <c r="K22" s="54"/>
      <c r="L22" s="34">
        <v>1</v>
      </c>
      <c r="M22" s="34">
        <f t="shared" si="1"/>
        <v>220</v>
      </c>
      <c r="N22" s="34">
        <f t="shared" si="4"/>
        <v>0</v>
      </c>
    </row>
    <row r="23" spans="1:15" ht="20.100000000000001" customHeight="1" x14ac:dyDescent="0.2">
      <c r="A23" s="34">
        <v>3</v>
      </c>
      <c r="B23" s="6"/>
      <c r="C23" s="6"/>
      <c r="D23" s="7"/>
      <c r="E23" s="8">
        <f t="shared" si="0"/>
        <v>0</v>
      </c>
      <c r="F23" s="6" t="str">
        <f>IFERROR(VLOOKUP(D23,设备参数表!D:O,8,FALSE),"-")</f>
        <v>-</v>
      </c>
      <c r="G23" s="6" t="str">
        <f>IFERROR(VLOOKUP(D23,设备参数表!D:O,4,FALSE)*1000,"-")</f>
        <v>-</v>
      </c>
      <c r="H23" s="6" t="str">
        <f>IFERROR(VLOOKUP(D23,设备参数表!D:O,6,FALSE)*1000,"-")</f>
        <v>-</v>
      </c>
      <c r="I23" s="9">
        <f t="shared" si="5"/>
        <v>0</v>
      </c>
      <c r="J23" s="10">
        <f t="shared" si="6"/>
        <v>0</v>
      </c>
      <c r="K23" s="54"/>
      <c r="L23" s="34">
        <v>1</v>
      </c>
      <c r="M23" s="34">
        <f t="shared" si="1"/>
        <v>220</v>
      </c>
      <c r="N23" s="34">
        <f t="shared" si="4"/>
        <v>0</v>
      </c>
    </row>
    <row r="24" spans="1:15" ht="20.100000000000001" customHeight="1" x14ac:dyDescent="0.2">
      <c r="A24" s="34">
        <v>3</v>
      </c>
      <c r="B24" s="6"/>
      <c r="C24" s="6"/>
      <c r="D24" s="7"/>
      <c r="E24" s="8">
        <f t="shared" si="0"/>
        <v>0</v>
      </c>
      <c r="F24" s="6" t="str">
        <f>IFERROR(VLOOKUP(D24,设备参数表!D:O,8,FALSE),"-")</f>
        <v>-</v>
      </c>
      <c r="G24" s="6" t="str">
        <f>IFERROR(VLOOKUP(D24,设备参数表!D:O,4,FALSE)*1000,"-")</f>
        <v>-</v>
      </c>
      <c r="H24" s="6" t="str">
        <f>IFERROR(VLOOKUP(D24,设备参数表!D:O,6,FALSE)*1000,"-")</f>
        <v>-</v>
      </c>
      <c r="I24" s="9">
        <f t="shared" si="5"/>
        <v>0</v>
      </c>
      <c r="J24" s="10">
        <f t="shared" si="6"/>
        <v>0</v>
      </c>
      <c r="K24" s="54"/>
      <c r="L24" s="34">
        <v>1</v>
      </c>
      <c r="M24" s="34">
        <f t="shared" si="1"/>
        <v>220</v>
      </c>
      <c r="N24" s="34">
        <f t="shared" si="4"/>
        <v>0</v>
      </c>
    </row>
    <row r="25" spans="1:15" ht="20.100000000000001" customHeight="1" x14ac:dyDescent="0.2">
      <c r="A25" s="34">
        <v>3</v>
      </c>
      <c r="B25" s="6"/>
      <c r="C25" s="6"/>
      <c r="D25" s="7"/>
      <c r="E25" s="8">
        <f t="shared" si="0"/>
        <v>0</v>
      </c>
      <c r="F25" s="6" t="str">
        <f>IFERROR(VLOOKUP(D25,设备参数表!D:O,8,FALSE),"-")</f>
        <v>-</v>
      </c>
      <c r="G25" s="6" t="str">
        <f>IFERROR(VLOOKUP(D25,设备参数表!D:O,4,FALSE)*1000,"-")</f>
        <v>-</v>
      </c>
      <c r="H25" s="6" t="str">
        <f>IFERROR(VLOOKUP(D25,设备参数表!D:O,6,FALSE)*1000,"-")</f>
        <v>-</v>
      </c>
      <c r="I25" s="9">
        <f t="shared" ref="I25:I33" si="7">IFERROR(J25/C25,0)</f>
        <v>0</v>
      </c>
      <c r="J25" s="10">
        <f t="shared" ref="J25:J33" si="8">IFERROR(G25*E25,0)</f>
        <v>0</v>
      </c>
      <c r="K25" s="54"/>
      <c r="L25" s="34">
        <v>1</v>
      </c>
      <c r="M25" s="34">
        <f t="shared" si="1"/>
        <v>220</v>
      </c>
      <c r="N25" s="34">
        <f t="shared" si="4"/>
        <v>0</v>
      </c>
    </row>
    <row r="26" spans="1:15" ht="20.100000000000001" customHeight="1" x14ac:dyDescent="0.2">
      <c r="A26" s="34">
        <v>3</v>
      </c>
      <c r="B26" s="6"/>
      <c r="C26" s="6"/>
      <c r="D26" s="7"/>
      <c r="E26" s="8">
        <f t="shared" si="0"/>
        <v>0</v>
      </c>
      <c r="F26" s="6" t="str">
        <f>IFERROR(VLOOKUP(D26,设备参数表!D:O,8,FALSE),"-")</f>
        <v>-</v>
      </c>
      <c r="G26" s="6" t="str">
        <f>IFERROR(VLOOKUP(D26,设备参数表!D:O,4,FALSE)*1000,"-")</f>
        <v>-</v>
      </c>
      <c r="H26" s="6" t="str">
        <f>IFERROR(VLOOKUP(D26,设备参数表!D:O,6,FALSE)*1000,"-")</f>
        <v>-</v>
      </c>
      <c r="I26" s="9">
        <f t="shared" si="7"/>
        <v>0</v>
      </c>
      <c r="J26" s="10">
        <f t="shared" si="8"/>
        <v>0</v>
      </c>
      <c r="K26" s="54"/>
      <c r="L26" s="34">
        <v>1</v>
      </c>
      <c r="M26" s="34">
        <f t="shared" si="1"/>
        <v>220</v>
      </c>
      <c r="N26" s="34">
        <f t="shared" si="4"/>
        <v>0</v>
      </c>
    </row>
    <row r="27" spans="1:15" ht="20.100000000000001" customHeight="1" x14ac:dyDescent="0.2">
      <c r="A27" s="34">
        <v>3</v>
      </c>
      <c r="B27" s="6"/>
      <c r="C27" s="6"/>
      <c r="D27" s="7"/>
      <c r="E27" s="8">
        <f t="shared" si="0"/>
        <v>0</v>
      </c>
      <c r="F27" s="6" t="str">
        <f>IFERROR(VLOOKUP(D27,设备参数表!D:O,8,FALSE),"-")</f>
        <v>-</v>
      </c>
      <c r="G27" s="6" t="str">
        <f>IFERROR(VLOOKUP(D27,设备参数表!D:O,4,FALSE)*1000,"-")</f>
        <v>-</v>
      </c>
      <c r="H27" s="6" t="str">
        <f>IFERROR(VLOOKUP(D27,设备参数表!D:O,6,FALSE)*1000,"-")</f>
        <v>-</v>
      </c>
      <c r="I27" s="9">
        <f t="shared" si="7"/>
        <v>0</v>
      </c>
      <c r="J27" s="10">
        <f t="shared" si="8"/>
        <v>0</v>
      </c>
      <c r="K27" s="54"/>
      <c r="L27" s="34">
        <v>1</v>
      </c>
      <c r="M27" s="34">
        <f t="shared" si="1"/>
        <v>220</v>
      </c>
      <c r="N27" s="34">
        <f t="shared" si="4"/>
        <v>0</v>
      </c>
    </row>
    <row r="28" spans="1:15" ht="20.100000000000001" customHeight="1" x14ac:dyDescent="0.2">
      <c r="A28" s="34">
        <v>3</v>
      </c>
      <c r="B28" s="6"/>
      <c r="C28" s="6"/>
      <c r="D28" s="7"/>
      <c r="E28" s="8">
        <f t="shared" si="0"/>
        <v>0</v>
      </c>
      <c r="F28" s="6" t="str">
        <f>IFERROR(VLOOKUP(D28,设备参数表!D:O,8,FALSE),"-")</f>
        <v>-</v>
      </c>
      <c r="G28" s="6" t="str">
        <f>IFERROR(VLOOKUP(D28,设备参数表!D:O,4,FALSE)*1000,"-")</f>
        <v>-</v>
      </c>
      <c r="H28" s="6" t="str">
        <f>IFERROR(VLOOKUP(D28,设备参数表!D:O,6,FALSE)*1000,"-")</f>
        <v>-</v>
      </c>
      <c r="I28" s="9">
        <f t="shared" si="7"/>
        <v>0</v>
      </c>
      <c r="J28" s="10">
        <f t="shared" si="8"/>
        <v>0</v>
      </c>
      <c r="K28" s="54"/>
      <c r="L28" s="34">
        <v>1</v>
      </c>
      <c r="M28" s="34">
        <f t="shared" si="1"/>
        <v>220</v>
      </c>
      <c r="N28" s="34">
        <f t="shared" si="4"/>
        <v>0</v>
      </c>
    </row>
    <row r="29" spans="1:15" ht="20.100000000000001" customHeight="1" x14ac:dyDescent="0.2">
      <c r="A29" s="34">
        <v>3</v>
      </c>
      <c r="B29" s="6"/>
      <c r="C29" s="6"/>
      <c r="D29" s="7"/>
      <c r="E29" s="8">
        <f t="shared" si="0"/>
        <v>0</v>
      </c>
      <c r="F29" s="6" t="str">
        <f>IFERROR(VLOOKUP(D29,设备参数表!D:O,8,FALSE),"-")</f>
        <v>-</v>
      </c>
      <c r="G29" s="6" t="str">
        <f>IFERROR(VLOOKUP(D29,设备参数表!D:O,4,FALSE)*1000,"-")</f>
        <v>-</v>
      </c>
      <c r="H29" s="6" t="str">
        <f>IFERROR(VLOOKUP(D29,设备参数表!D:O,6,FALSE)*1000,"-")</f>
        <v>-</v>
      </c>
      <c r="I29" s="9">
        <f t="shared" si="7"/>
        <v>0</v>
      </c>
      <c r="J29" s="10">
        <f t="shared" si="8"/>
        <v>0</v>
      </c>
      <c r="K29" s="54"/>
      <c r="L29" s="34">
        <v>1</v>
      </c>
      <c r="M29" s="34">
        <f t="shared" si="1"/>
        <v>220</v>
      </c>
      <c r="N29" s="34">
        <f t="shared" si="4"/>
        <v>0</v>
      </c>
    </row>
    <row r="30" spans="1:15" ht="20.100000000000001" customHeight="1" x14ac:dyDescent="0.2">
      <c r="A30" s="34">
        <v>3</v>
      </c>
      <c r="B30" s="6"/>
      <c r="C30" s="6"/>
      <c r="D30" s="7"/>
      <c r="E30" s="8">
        <f t="shared" si="0"/>
        <v>0</v>
      </c>
      <c r="F30" s="6" t="str">
        <f>IFERROR(VLOOKUP(D30,设备参数表!D:O,8,FALSE),"-")</f>
        <v>-</v>
      </c>
      <c r="G30" s="6" t="str">
        <f>IFERROR(VLOOKUP(D30,设备参数表!D:O,4,FALSE)*1000,"-")</f>
        <v>-</v>
      </c>
      <c r="H30" s="6" t="str">
        <f>IFERROR(VLOOKUP(D30,设备参数表!D:O,6,FALSE)*1000,"-")</f>
        <v>-</v>
      </c>
      <c r="I30" s="9">
        <f t="shared" si="7"/>
        <v>0</v>
      </c>
      <c r="J30" s="10">
        <f t="shared" si="8"/>
        <v>0</v>
      </c>
      <c r="K30" s="54"/>
      <c r="L30" s="34">
        <v>1</v>
      </c>
      <c r="M30" s="34">
        <f t="shared" si="1"/>
        <v>220</v>
      </c>
      <c r="N30" s="34">
        <f t="shared" si="4"/>
        <v>0</v>
      </c>
    </row>
    <row r="31" spans="1:15" ht="20.100000000000001" customHeight="1" x14ac:dyDescent="0.2">
      <c r="A31" s="34">
        <v>3</v>
      </c>
      <c r="B31" s="6"/>
      <c r="C31" s="6"/>
      <c r="D31" s="7"/>
      <c r="E31" s="8">
        <f t="shared" si="0"/>
        <v>0</v>
      </c>
      <c r="F31" s="6" t="str">
        <f>IFERROR(VLOOKUP(D31,设备参数表!D:O,8,FALSE),"-")</f>
        <v>-</v>
      </c>
      <c r="G31" s="6" t="str">
        <f>IFERROR(VLOOKUP(D31,设备参数表!D:O,4,FALSE)*1000,"-")</f>
        <v>-</v>
      </c>
      <c r="H31" s="6" t="str">
        <f>IFERROR(VLOOKUP(D31,设备参数表!D:O,6,FALSE)*1000,"-")</f>
        <v>-</v>
      </c>
      <c r="I31" s="9">
        <f t="shared" ref="I31:I32" si="9">IFERROR(J31/C31,0)</f>
        <v>0</v>
      </c>
      <c r="J31" s="10">
        <f t="shared" ref="J31:J32" si="10">IFERROR(G31*E31,0)</f>
        <v>0</v>
      </c>
      <c r="K31" s="54"/>
      <c r="L31" s="34">
        <v>1</v>
      </c>
      <c r="M31" s="34">
        <f t="shared" si="1"/>
        <v>220</v>
      </c>
      <c r="N31" s="34">
        <f t="shared" si="4"/>
        <v>0</v>
      </c>
      <c r="O31" s="38"/>
    </row>
    <row r="32" spans="1:15" ht="20.100000000000001" customHeight="1" x14ac:dyDescent="0.2">
      <c r="A32" s="34">
        <v>3</v>
      </c>
      <c r="B32" s="6"/>
      <c r="C32" s="6"/>
      <c r="D32" s="7"/>
      <c r="E32" s="8">
        <f t="shared" si="0"/>
        <v>0</v>
      </c>
      <c r="F32" s="6" t="str">
        <f>IFERROR(VLOOKUP(D32,设备参数表!D:O,8,FALSE),"-")</f>
        <v>-</v>
      </c>
      <c r="G32" s="6" t="str">
        <f>IFERROR(VLOOKUP(D32,设备参数表!D:O,4,FALSE)*1000,"-")</f>
        <v>-</v>
      </c>
      <c r="H32" s="6" t="str">
        <f>IFERROR(VLOOKUP(D32,设备参数表!D:O,6,FALSE)*1000,"-")</f>
        <v>-</v>
      </c>
      <c r="I32" s="9">
        <f t="shared" si="9"/>
        <v>0</v>
      </c>
      <c r="J32" s="10">
        <f t="shared" si="10"/>
        <v>0</v>
      </c>
      <c r="K32" s="54"/>
      <c r="L32" s="34">
        <v>1</v>
      </c>
      <c r="M32" s="34">
        <f t="shared" si="1"/>
        <v>220</v>
      </c>
      <c r="N32" s="34">
        <f t="shared" si="4"/>
        <v>0</v>
      </c>
      <c r="O32" s="38"/>
    </row>
    <row r="33" spans="1:15" ht="20.100000000000001" customHeight="1" x14ac:dyDescent="0.2">
      <c r="A33" s="34">
        <v>3</v>
      </c>
      <c r="B33" s="6"/>
      <c r="C33" s="6"/>
      <c r="D33" s="7"/>
      <c r="E33" s="8">
        <f t="shared" si="0"/>
        <v>0</v>
      </c>
      <c r="F33" s="6" t="str">
        <f>IFERROR(VLOOKUP(D33,设备参数表!D:O,8,FALSE),"-")</f>
        <v>-</v>
      </c>
      <c r="G33" s="6" t="str">
        <f>IFERROR(VLOOKUP(D33,设备参数表!D:O,4,FALSE)*1000,"-")</f>
        <v>-</v>
      </c>
      <c r="H33" s="6" t="str">
        <f>IFERROR(VLOOKUP(D33,设备参数表!D:O,6,FALSE)*1000,"-")</f>
        <v>-</v>
      </c>
      <c r="I33" s="9">
        <f t="shared" si="7"/>
        <v>0</v>
      </c>
      <c r="J33" s="10">
        <f t="shared" si="8"/>
        <v>0</v>
      </c>
      <c r="K33" s="54"/>
      <c r="L33" s="34">
        <v>1</v>
      </c>
      <c r="M33" s="34">
        <f t="shared" si="1"/>
        <v>220</v>
      </c>
      <c r="N33" s="34">
        <f t="shared" si="4"/>
        <v>0</v>
      </c>
      <c r="O33" s="38"/>
    </row>
    <row r="34" spans="1:15" ht="25.5" customHeight="1" x14ac:dyDescent="0.2">
      <c r="A34" s="4" t="s">
        <v>14</v>
      </c>
      <c r="B34" s="5"/>
      <c r="C34" s="5"/>
      <c r="D34" s="5"/>
      <c r="E34" s="5"/>
      <c r="F34" s="5"/>
      <c r="G34" s="5"/>
      <c r="H34" s="5"/>
      <c r="I34" s="5"/>
      <c r="J34" s="5"/>
      <c r="K34" s="31"/>
    </row>
    <row r="35" spans="1:15" ht="37.5" x14ac:dyDescent="0.2">
      <c r="A35" s="35" t="s">
        <v>15</v>
      </c>
      <c r="B35" s="23" t="s">
        <v>5</v>
      </c>
      <c r="C35" s="165" t="s">
        <v>20</v>
      </c>
      <c r="D35" s="166"/>
      <c r="E35" s="167"/>
      <c r="F35" s="23" t="s">
        <v>16</v>
      </c>
      <c r="G35" s="23" t="s">
        <v>17</v>
      </c>
      <c r="H35" s="23" t="s">
        <v>436</v>
      </c>
      <c r="I35" s="164" t="s">
        <v>18</v>
      </c>
      <c r="J35" s="164"/>
      <c r="K35" s="23" t="s">
        <v>19</v>
      </c>
      <c r="L35" s="33"/>
    </row>
    <row r="36" spans="1:15" ht="20.100000000000001" customHeight="1" x14ac:dyDescent="0.2">
      <c r="A36" s="11">
        <v>1</v>
      </c>
      <c r="B36" s="11"/>
      <c r="C36" s="168"/>
      <c r="D36" s="157"/>
      <c r="E36" s="157"/>
      <c r="F36" s="37" t="str">
        <f>IFERROR(VLOOKUP(C36,设备参数表!D:O,4,FALSE),"-")</f>
        <v>-</v>
      </c>
      <c r="G36" s="12">
        <f>SUM(J14:J17)/1000</f>
        <v>0</v>
      </c>
      <c r="H36" s="13">
        <f>IFERROR(G36/F36,0)</f>
        <v>0</v>
      </c>
      <c r="I36" s="171" t="str">
        <f>IFERROR(VLOOKUP(C36,设备参数表!D:O,8,FALSE),"-")</f>
        <v>-</v>
      </c>
      <c r="J36" s="171"/>
      <c r="K36" s="6" t="str">
        <f>IFERROR(VLOOKUP(C36,设备参数表!D:O,11,FALSE),"-")</f>
        <v>-</v>
      </c>
      <c r="L36" s="33"/>
    </row>
    <row r="37" spans="1:15" ht="20.100000000000001" customHeight="1" x14ac:dyDescent="0.2">
      <c r="A37" s="11">
        <v>2</v>
      </c>
      <c r="B37" s="11"/>
      <c r="C37" s="168"/>
      <c r="D37" s="157"/>
      <c r="E37" s="157"/>
      <c r="F37" s="37" t="str">
        <f>IFERROR(VLOOKUP(C37,设备参数表!D:O,4,FALSE),"-")</f>
        <v>-</v>
      </c>
      <c r="G37" s="12">
        <f>SUM(J18:J21)/1000</f>
        <v>0</v>
      </c>
      <c r="H37" s="13">
        <f>IFERROR(G37/F37,0)</f>
        <v>0</v>
      </c>
      <c r="I37" s="171" t="str">
        <f>IFERROR(VLOOKUP(C37,设备参数表!D:O,8,FALSE),"-")</f>
        <v>-</v>
      </c>
      <c r="J37" s="171"/>
      <c r="K37" s="6" t="str">
        <f>IFERROR(VLOOKUP(C37,设备参数表!D:O,11,FALSE),"-")</f>
        <v>-</v>
      </c>
      <c r="L37" s="33"/>
    </row>
    <row r="38" spans="1:15" ht="20.100000000000001" customHeight="1" x14ac:dyDescent="0.2">
      <c r="A38" s="11">
        <v>3</v>
      </c>
      <c r="B38" s="11"/>
      <c r="C38" s="168"/>
      <c r="D38" s="157"/>
      <c r="E38" s="157"/>
      <c r="F38" s="37" t="str">
        <f>IFERROR(VLOOKUP(C38,设备参数表!D:O,4,FALSE),"-")</f>
        <v>-</v>
      </c>
      <c r="G38" s="12">
        <f>SUM(J22:J24)/1000</f>
        <v>0</v>
      </c>
      <c r="H38" s="13">
        <f>IFERROR(G38/F38,0)</f>
        <v>0</v>
      </c>
      <c r="I38" s="171" t="str">
        <f>IFERROR(VLOOKUP(C38,设备参数表!D:O,8,FALSE),"-")</f>
        <v>-</v>
      </c>
      <c r="J38" s="171"/>
      <c r="K38" s="6" t="str">
        <f>IFERROR(VLOOKUP(C38,设备参数表!D:O,11,FALSE),"-")</f>
        <v>-</v>
      </c>
      <c r="L38" s="33"/>
    </row>
    <row r="39" spans="1:15" ht="20.100000000000001" customHeight="1" x14ac:dyDescent="0.2">
      <c r="A39" s="11">
        <v>4</v>
      </c>
      <c r="B39" s="11"/>
      <c r="C39" s="168"/>
      <c r="D39" s="157"/>
      <c r="E39" s="157"/>
      <c r="F39" s="37" t="str">
        <f>IFERROR(VLOOKUP(C39,设备参数表!D:O,4,FALSE),"-")</f>
        <v>-</v>
      </c>
      <c r="G39" s="12">
        <f>SUM(J23:J25)/1000</f>
        <v>0</v>
      </c>
      <c r="H39" s="13">
        <f>IFERROR(G39/F39,0)</f>
        <v>0</v>
      </c>
      <c r="I39" s="171" t="str">
        <f>IFERROR(VLOOKUP(C39,设备参数表!D:O,8,FALSE),"-")</f>
        <v>-</v>
      </c>
      <c r="J39" s="171"/>
      <c r="K39" s="6" t="str">
        <f>IFERROR(VLOOKUP(C39,设备参数表!D:O,11,FALSE),"-")</f>
        <v>-</v>
      </c>
      <c r="L39" s="33"/>
    </row>
    <row r="40" spans="1:15" ht="20.100000000000001" customHeight="1" x14ac:dyDescent="0.2">
      <c r="A40" s="11">
        <v>5</v>
      </c>
      <c r="B40" s="11"/>
      <c r="C40" s="168"/>
      <c r="D40" s="157"/>
      <c r="E40" s="157"/>
      <c r="F40" s="37" t="str">
        <f>IFERROR(VLOOKUP(C40,设备参数表!D:O,4,FALSE),"-")</f>
        <v>-</v>
      </c>
      <c r="G40" s="12">
        <f>SUM(J25:J33)/1000</f>
        <v>0</v>
      </c>
      <c r="H40" s="13">
        <f>IFERROR(G40/F40,0)</f>
        <v>0</v>
      </c>
      <c r="I40" s="171" t="str">
        <f>IFERROR(VLOOKUP(C40,设备参数表!D:O,8,FALSE),"-")</f>
        <v>-</v>
      </c>
      <c r="J40" s="171"/>
      <c r="K40" s="6" t="str">
        <f>IFERROR(VLOOKUP(C40,设备参数表!D:O,11,FALSE),"-")</f>
        <v>-</v>
      </c>
      <c r="L40" s="33"/>
    </row>
    <row r="41" spans="1:15" ht="20.100000000000001" customHeight="1" x14ac:dyDescent="0.2">
      <c r="A41" s="4" t="s">
        <v>21</v>
      </c>
      <c r="B41" s="5"/>
      <c r="C41" s="36"/>
      <c r="D41" s="5"/>
      <c r="E41" s="5"/>
      <c r="F41" s="5"/>
      <c r="G41" s="5"/>
      <c r="H41" s="5"/>
      <c r="I41" s="5"/>
      <c r="J41" s="5"/>
      <c r="K41" s="31"/>
    </row>
    <row r="42" spans="1:15" ht="20.100000000000001" customHeight="1" x14ac:dyDescent="0.2">
      <c r="A42" s="23" t="s">
        <v>15</v>
      </c>
      <c r="B42" s="164" t="s">
        <v>22</v>
      </c>
      <c r="C42" s="164"/>
      <c r="D42" s="164" t="s">
        <v>23</v>
      </c>
      <c r="E42" s="164"/>
      <c r="F42" s="164"/>
      <c r="G42" s="23" t="s">
        <v>24</v>
      </c>
      <c r="H42" s="23" t="s">
        <v>25</v>
      </c>
      <c r="I42" s="24" t="s">
        <v>26</v>
      </c>
      <c r="J42" s="25" t="s">
        <v>27</v>
      </c>
      <c r="K42" s="23" t="s">
        <v>19</v>
      </c>
      <c r="L42" s="33" t="s">
        <v>419</v>
      </c>
    </row>
    <row r="43" spans="1:15" ht="20.100000000000001" customHeight="1" x14ac:dyDescent="0.2">
      <c r="A43" s="158">
        <v>1</v>
      </c>
      <c r="B43" s="160" t="s">
        <v>28</v>
      </c>
      <c r="C43" s="161"/>
      <c r="D43" s="168" t="e">
        <f>L43</f>
        <v>#VALUE!</v>
      </c>
      <c r="E43" s="157"/>
      <c r="F43" s="157"/>
      <c r="G43" s="6" t="s">
        <v>29</v>
      </c>
      <c r="H43" s="6">
        <f>COUNTIF($K$14:K34,D43)</f>
        <v>0</v>
      </c>
      <c r="I43" s="15">
        <f>IFERROR(VLOOKUP(D43,设备参数表!D:O,12,FALSE),"0")*$E$3</f>
        <v>0</v>
      </c>
      <c r="J43" s="49">
        <f>H43*I43</f>
        <v>0</v>
      </c>
      <c r="K43" s="16"/>
      <c r="L43" s="33" t="e" cm="1">
        <f t="array" ref="L43">UNIQUE_FILTER(K14:K34,TRUE)</f>
        <v>#VALUE!</v>
      </c>
    </row>
    <row r="44" spans="1:15" ht="20.100000000000001" customHeight="1" x14ac:dyDescent="0.2">
      <c r="A44" s="159"/>
      <c r="B44" s="162"/>
      <c r="C44" s="163"/>
      <c r="D44" s="168">
        <f t="shared" ref="D44:D47" si="11">L44</f>
        <v>0</v>
      </c>
      <c r="E44" s="157"/>
      <c r="F44" s="157"/>
      <c r="G44" s="6" t="s">
        <v>29</v>
      </c>
      <c r="H44" s="6">
        <f>COUNTIF($K$14:K35,D44)</f>
        <v>0</v>
      </c>
      <c r="I44" s="15">
        <f>IFERROR(VLOOKUP(D44,设备参数表!D:O,12,FALSE),"0")*$E$3</f>
        <v>0</v>
      </c>
      <c r="J44" s="49">
        <f t="shared" ref="J44:J47" si="12">H44*I44</f>
        <v>0</v>
      </c>
      <c r="K44" s="16"/>
      <c r="L44" s="33"/>
    </row>
    <row r="45" spans="1:15" ht="20.100000000000001" customHeight="1" x14ac:dyDescent="0.2">
      <c r="A45" s="159"/>
      <c r="B45" s="162"/>
      <c r="C45" s="163"/>
      <c r="D45" s="168">
        <f t="shared" si="11"/>
        <v>0</v>
      </c>
      <c r="E45" s="157"/>
      <c r="F45" s="157"/>
      <c r="G45" s="6" t="s">
        <v>29</v>
      </c>
      <c r="H45" s="6">
        <f>COUNTIF($K$14:K36,D45)</f>
        <v>0</v>
      </c>
      <c r="I45" s="15">
        <f>IFERROR(VLOOKUP(D45,设备参数表!D:O,12,FALSE),"0")*$E$3</f>
        <v>0</v>
      </c>
      <c r="J45" s="49">
        <f t="shared" si="12"/>
        <v>0</v>
      </c>
      <c r="K45" s="16"/>
      <c r="L45" s="33"/>
    </row>
    <row r="46" spans="1:15" ht="20.100000000000001" customHeight="1" x14ac:dyDescent="0.2">
      <c r="A46" s="159"/>
      <c r="B46" s="162"/>
      <c r="C46" s="163"/>
      <c r="D46" s="168">
        <f t="shared" ref="D46" si="13">L46</f>
        <v>0</v>
      </c>
      <c r="E46" s="157"/>
      <c r="F46" s="157"/>
      <c r="G46" s="6" t="s">
        <v>29</v>
      </c>
      <c r="H46" s="6">
        <f>COUNTIF($K$14:K37,D46)</f>
        <v>0</v>
      </c>
      <c r="I46" s="15">
        <f>IFERROR(VLOOKUP(D46,设备参数表!D:O,12,FALSE),"0")*$E$3</f>
        <v>0</v>
      </c>
      <c r="J46" s="49">
        <f t="shared" ref="J46" si="14">H46*I46</f>
        <v>0</v>
      </c>
      <c r="K46" s="16"/>
      <c r="L46" s="33"/>
    </row>
    <row r="47" spans="1:15" ht="20.100000000000001" customHeight="1" x14ac:dyDescent="0.2">
      <c r="A47" s="159"/>
      <c r="B47" s="162"/>
      <c r="C47" s="163"/>
      <c r="D47" s="168">
        <f t="shared" si="11"/>
        <v>0</v>
      </c>
      <c r="E47" s="157"/>
      <c r="F47" s="157"/>
      <c r="G47" s="6" t="s">
        <v>29</v>
      </c>
      <c r="H47" s="6">
        <f>COUNTIF($K$14:K37,D47)</f>
        <v>0</v>
      </c>
      <c r="I47" s="15">
        <f>IFERROR(VLOOKUP(D47,设备参数表!D:O,12,FALSE),"0")*$E$3</f>
        <v>0</v>
      </c>
      <c r="J47" s="49">
        <f t="shared" si="12"/>
        <v>0</v>
      </c>
      <c r="K47" s="16"/>
      <c r="L47" s="33"/>
    </row>
    <row r="48" spans="1:15" ht="17.649999999999999" customHeight="1" x14ac:dyDescent="0.2">
      <c r="A48" s="158">
        <v>2</v>
      </c>
      <c r="B48" s="160" t="s">
        <v>30</v>
      </c>
      <c r="C48" s="161"/>
      <c r="D48" s="154" t="e">
        <f>L48</f>
        <v>#VALUE!</v>
      </c>
      <c r="E48" s="155"/>
      <c r="F48" s="156"/>
      <c r="G48" s="6" t="s">
        <v>29</v>
      </c>
      <c r="H48" s="6">
        <f>SUMIF($D$14:$D$34,D48,$E$14:$E$34)</f>
        <v>0</v>
      </c>
      <c r="I48" s="15">
        <f>IFERROR(VLOOKUP(D48,设备参数表!D:O,12,FALSE),"0")*$E$3</f>
        <v>0</v>
      </c>
      <c r="J48" s="49">
        <f t="shared" ref="J48:J68" si="15">H48*I48</f>
        <v>0</v>
      </c>
      <c r="K48" s="16"/>
      <c r="L48" s="33" t="e" cm="1">
        <f t="array" ref="L48">UNIQUE_FILTER(D14:D34,TRUE)</f>
        <v>#VALUE!</v>
      </c>
    </row>
    <row r="49" spans="1:12" ht="18.75" x14ac:dyDescent="0.2">
      <c r="A49" s="159"/>
      <c r="B49" s="162"/>
      <c r="C49" s="163"/>
      <c r="D49" s="154">
        <f t="shared" ref="D49:D66" si="16">L49</f>
        <v>0</v>
      </c>
      <c r="E49" s="155"/>
      <c r="F49" s="156"/>
      <c r="G49" s="6" t="s">
        <v>29</v>
      </c>
      <c r="H49" s="6">
        <f t="shared" ref="H49:H66" si="17">SUMIF($D$14:$D$34,D49,$E$14:$E$34)</f>
        <v>0</v>
      </c>
      <c r="I49" s="15">
        <f>IFERROR(VLOOKUP(D49,设备参数表!D:O,12,FALSE),"0")*$E$3</f>
        <v>0</v>
      </c>
      <c r="J49" s="49">
        <f t="shared" ref="J49:J66" si="18">H49*I49</f>
        <v>0</v>
      </c>
      <c r="K49" s="16"/>
      <c r="L49" s="33"/>
    </row>
    <row r="50" spans="1:12" ht="18.75" x14ac:dyDescent="0.2">
      <c r="A50" s="159"/>
      <c r="B50" s="162"/>
      <c r="C50" s="163"/>
      <c r="D50" s="154">
        <f t="shared" si="16"/>
        <v>0</v>
      </c>
      <c r="E50" s="155"/>
      <c r="F50" s="156"/>
      <c r="G50" s="6" t="s">
        <v>29</v>
      </c>
      <c r="H50" s="6">
        <f t="shared" si="17"/>
        <v>0</v>
      </c>
      <c r="I50" s="15">
        <f>IFERROR(VLOOKUP(D50,设备参数表!D:O,12,FALSE),"0")*$E$3</f>
        <v>0</v>
      </c>
      <c r="J50" s="49">
        <f t="shared" si="18"/>
        <v>0</v>
      </c>
      <c r="K50" s="16"/>
      <c r="L50" s="33"/>
    </row>
    <row r="51" spans="1:12" ht="18.75" x14ac:dyDescent="0.2">
      <c r="A51" s="159"/>
      <c r="B51" s="162"/>
      <c r="C51" s="163"/>
      <c r="D51" s="154">
        <f t="shared" si="16"/>
        <v>0</v>
      </c>
      <c r="E51" s="155"/>
      <c r="F51" s="156"/>
      <c r="G51" s="6" t="s">
        <v>29</v>
      </c>
      <c r="H51" s="6">
        <f t="shared" si="17"/>
        <v>0</v>
      </c>
      <c r="I51" s="15">
        <f>IFERROR(VLOOKUP(D51,设备参数表!D:O,12,FALSE),"0")*$E$3</f>
        <v>0</v>
      </c>
      <c r="J51" s="49">
        <f t="shared" si="18"/>
        <v>0</v>
      </c>
      <c r="K51" s="16"/>
      <c r="L51" s="33"/>
    </row>
    <row r="52" spans="1:12" ht="18.75" x14ac:dyDescent="0.2">
      <c r="A52" s="159"/>
      <c r="B52" s="162"/>
      <c r="C52" s="163"/>
      <c r="D52" s="154">
        <f t="shared" si="16"/>
        <v>0</v>
      </c>
      <c r="E52" s="155"/>
      <c r="F52" s="156"/>
      <c r="G52" s="6" t="s">
        <v>29</v>
      </c>
      <c r="H52" s="6">
        <f t="shared" si="17"/>
        <v>0</v>
      </c>
      <c r="I52" s="15">
        <f>IFERROR(VLOOKUP(D52,设备参数表!D:O,12,FALSE),"0")*$E$3</f>
        <v>0</v>
      </c>
      <c r="J52" s="49">
        <f t="shared" si="18"/>
        <v>0</v>
      </c>
      <c r="K52" s="16"/>
      <c r="L52" s="33"/>
    </row>
    <row r="53" spans="1:12" ht="18.75" x14ac:dyDescent="0.2">
      <c r="A53" s="159"/>
      <c r="B53" s="162"/>
      <c r="C53" s="163"/>
      <c r="D53" s="154">
        <f t="shared" si="16"/>
        <v>0</v>
      </c>
      <c r="E53" s="155"/>
      <c r="F53" s="156"/>
      <c r="G53" s="6" t="s">
        <v>29</v>
      </c>
      <c r="H53" s="6">
        <f t="shared" si="17"/>
        <v>0</v>
      </c>
      <c r="I53" s="15">
        <f>IFERROR(VLOOKUP(D53,设备参数表!D:O,12,FALSE),"0")*$E$3</f>
        <v>0</v>
      </c>
      <c r="J53" s="49">
        <f t="shared" si="18"/>
        <v>0</v>
      </c>
      <c r="K53" s="16"/>
      <c r="L53" s="33"/>
    </row>
    <row r="54" spans="1:12" ht="18.75" x14ac:dyDescent="0.2">
      <c r="A54" s="159"/>
      <c r="B54" s="162"/>
      <c r="C54" s="163"/>
      <c r="D54" s="154">
        <f t="shared" si="16"/>
        <v>0</v>
      </c>
      <c r="E54" s="155"/>
      <c r="F54" s="156"/>
      <c r="G54" s="6" t="s">
        <v>29</v>
      </c>
      <c r="H54" s="6">
        <f t="shared" si="17"/>
        <v>0</v>
      </c>
      <c r="I54" s="15">
        <f>IFERROR(VLOOKUP(D54,设备参数表!D:O,12,FALSE),"0")*$E$3</f>
        <v>0</v>
      </c>
      <c r="J54" s="49">
        <f t="shared" si="18"/>
        <v>0</v>
      </c>
      <c r="K54" s="16"/>
      <c r="L54" s="33"/>
    </row>
    <row r="55" spans="1:12" ht="18.75" x14ac:dyDescent="0.2">
      <c r="A55" s="159"/>
      <c r="B55" s="162"/>
      <c r="C55" s="163"/>
      <c r="D55" s="154">
        <f t="shared" si="16"/>
        <v>0</v>
      </c>
      <c r="E55" s="155"/>
      <c r="F55" s="156"/>
      <c r="G55" s="6" t="s">
        <v>29</v>
      </c>
      <c r="H55" s="6">
        <f t="shared" si="17"/>
        <v>0</v>
      </c>
      <c r="I55" s="15">
        <f>IFERROR(VLOOKUP(D55,设备参数表!D:O,12,FALSE),"0")*$E$3</f>
        <v>0</v>
      </c>
      <c r="J55" s="49">
        <f t="shared" si="18"/>
        <v>0</v>
      </c>
      <c r="K55" s="16"/>
      <c r="L55" s="33"/>
    </row>
    <row r="56" spans="1:12" ht="18.75" x14ac:dyDescent="0.2">
      <c r="A56" s="159"/>
      <c r="B56" s="162"/>
      <c r="C56" s="163"/>
      <c r="D56" s="154">
        <f t="shared" si="16"/>
        <v>0</v>
      </c>
      <c r="E56" s="155"/>
      <c r="F56" s="156"/>
      <c r="G56" s="6" t="s">
        <v>29</v>
      </c>
      <c r="H56" s="6">
        <f t="shared" si="17"/>
        <v>0</v>
      </c>
      <c r="I56" s="15">
        <f>IFERROR(VLOOKUP(D56,设备参数表!D:O,12,FALSE),"0")*$E$3</f>
        <v>0</v>
      </c>
      <c r="J56" s="49">
        <f t="shared" si="18"/>
        <v>0</v>
      </c>
      <c r="K56" s="16"/>
      <c r="L56" s="33"/>
    </row>
    <row r="57" spans="1:12" ht="18.75" x14ac:dyDescent="0.2">
      <c r="A57" s="159"/>
      <c r="B57" s="162"/>
      <c r="C57" s="163"/>
      <c r="D57" s="154">
        <f t="shared" si="16"/>
        <v>0</v>
      </c>
      <c r="E57" s="155"/>
      <c r="F57" s="156"/>
      <c r="G57" s="6" t="s">
        <v>29</v>
      </c>
      <c r="H57" s="6">
        <f t="shared" si="17"/>
        <v>0</v>
      </c>
      <c r="I57" s="15">
        <f>IFERROR(VLOOKUP(D57,设备参数表!D:O,12,FALSE),"0")*$E$3</f>
        <v>0</v>
      </c>
      <c r="J57" s="49">
        <f t="shared" si="18"/>
        <v>0</v>
      </c>
      <c r="K57" s="16"/>
      <c r="L57" s="33"/>
    </row>
    <row r="58" spans="1:12" ht="18.75" x14ac:dyDescent="0.2">
      <c r="A58" s="159"/>
      <c r="B58" s="162"/>
      <c r="C58" s="163"/>
      <c r="D58" s="154">
        <f t="shared" si="16"/>
        <v>0</v>
      </c>
      <c r="E58" s="155"/>
      <c r="F58" s="156"/>
      <c r="G58" s="6" t="s">
        <v>29</v>
      </c>
      <c r="H58" s="6">
        <f t="shared" si="17"/>
        <v>0</v>
      </c>
      <c r="I58" s="15">
        <f>IFERROR(VLOOKUP(D58,设备参数表!D:O,12,FALSE),"0")*$E$3</f>
        <v>0</v>
      </c>
      <c r="J58" s="49">
        <f t="shared" si="18"/>
        <v>0</v>
      </c>
      <c r="K58" s="16"/>
      <c r="L58" s="33"/>
    </row>
    <row r="59" spans="1:12" ht="18.75" x14ac:dyDescent="0.2">
      <c r="A59" s="159"/>
      <c r="B59" s="162"/>
      <c r="C59" s="163"/>
      <c r="D59" s="154">
        <f t="shared" si="16"/>
        <v>0</v>
      </c>
      <c r="E59" s="155"/>
      <c r="F59" s="156"/>
      <c r="G59" s="6" t="s">
        <v>29</v>
      </c>
      <c r="H59" s="6">
        <f t="shared" si="17"/>
        <v>0</v>
      </c>
      <c r="I59" s="15">
        <f>IFERROR(VLOOKUP(D59,设备参数表!D:O,12,FALSE),"0")*$E$3</f>
        <v>0</v>
      </c>
      <c r="J59" s="49">
        <f t="shared" si="18"/>
        <v>0</v>
      </c>
      <c r="K59" s="16"/>
      <c r="L59" s="33"/>
    </row>
    <row r="60" spans="1:12" ht="18.75" x14ac:dyDescent="0.2">
      <c r="A60" s="159"/>
      <c r="B60" s="162"/>
      <c r="C60" s="163"/>
      <c r="D60" s="154">
        <f t="shared" ref="D60:D65" si="19">L60</f>
        <v>0</v>
      </c>
      <c r="E60" s="155"/>
      <c r="F60" s="156"/>
      <c r="G60" s="6" t="s">
        <v>29</v>
      </c>
      <c r="H60" s="6">
        <f t="shared" ref="H60:H65" si="20">SUMIF($D$14:$D$34,D60,$E$14:$E$34)</f>
        <v>0</v>
      </c>
      <c r="I60" s="15">
        <f>IFERROR(VLOOKUP(D60,设备参数表!D:O,12,FALSE),"0")*$E$3</f>
        <v>0</v>
      </c>
      <c r="J60" s="49">
        <f t="shared" ref="J60:J65" si="21">H60*I60</f>
        <v>0</v>
      </c>
      <c r="K60" s="16"/>
      <c r="L60" s="33"/>
    </row>
    <row r="61" spans="1:12" ht="18.75" x14ac:dyDescent="0.2">
      <c r="A61" s="159"/>
      <c r="B61" s="162"/>
      <c r="C61" s="163"/>
      <c r="D61" s="154">
        <f t="shared" si="19"/>
        <v>0</v>
      </c>
      <c r="E61" s="155"/>
      <c r="F61" s="156"/>
      <c r="G61" s="6" t="s">
        <v>29</v>
      </c>
      <c r="H61" s="6">
        <f t="shared" si="20"/>
        <v>0</v>
      </c>
      <c r="I61" s="15">
        <f>IFERROR(VLOOKUP(D61,设备参数表!D:O,12,FALSE),"0")*$E$3</f>
        <v>0</v>
      </c>
      <c r="J61" s="49">
        <f t="shared" si="21"/>
        <v>0</v>
      </c>
      <c r="K61" s="16"/>
      <c r="L61" s="33"/>
    </row>
    <row r="62" spans="1:12" ht="18.75" x14ac:dyDescent="0.2">
      <c r="A62" s="159"/>
      <c r="B62" s="162"/>
      <c r="C62" s="163"/>
      <c r="D62" s="154">
        <f t="shared" si="19"/>
        <v>0</v>
      </c>
      <c r="E62" s="155"/>
      <c r="F62" s="156"/>
      <c r="G62" s="6" t="s">
        <v>29</v>
      </c>
      <c r="H62" s="6">
        <f t="shared" si="20"/>
        <v>0</v>
      </c>
      <c r="I62" s="15">
        <f>IFERROR(VLOOKUP(D62,设备参数表!D:O,12,FALSE),"0")*$E$3</f>
        <v>0</v>
      </c>
      <c r="J62" s="49">
        <f t="shared" si="21"/>
        <v>0</v>
      </c>
      <c r="K62" s="16"/>
      <c r="L62" s="33"/>
    </row>
    <row r="63" spans="1:12" ht="18.75" x14ac:dyDescent="0.2">
      <c r="A63" s="159"/>
      <c r="B63" s="162"/>
      <c r="C63" s="163"/>
      <c r="D63" s="154">
        <f t="shared" si="19"/>
        <v>0</v>
      </c>
      <c r="E63" s="155"/>
      <c r="F63" s="156"/>
      <c r="G63" s="6" t="s">
        <v>29</v>
      </c>
      <c r="H63" s="6">
        <f t="shared" si="20"/>
        <v>0</v>
      </c>
      <c r="I63" s="15">
        <f>IFERROR(VLOOKUP(D63,设备参数表!D:O,12,FALSE),"0")*$E$3</f>
        <v>0</v>
      </c>
      <c r="J63" s="49">
        <f t="shared" si="21"/>
        <v>0</v>
      </c>
      <c r="K63" s="16"/>
      <c r="L63" s="33"/>
    </row>
    <row r="64" spans="1:12" ht="18.75" x14ac:dyDescent="0.2">
      <c r="A64" s="159"/>
      <c r="B64" s="162"/>
      <c r="C64" s="163"/>
      <c r="D64" s="154">
        <f t="shared" si="19"/>
        <v>0</v>
      </c>
      <c r="E64" s="155"/>
      <c r="F64" s="156"/>
      <c r="G64" s="6" t="s">
        <v>29</v>
      </c>
      <c r="H64" s="6">
        <f t="shared" si="20"/>
        <v>0</v>
      </c>
      <c r="I64" s="15">
        <f>IFERROR(VLOOKUP(D64,设备参数表!D:O,12,FALSE),"0")*$E$3</f>
        <v>0</v>
      </c>
      <c r="J64" s="49">
        <f t="shared" si="21"/>
        <v>0</v>
      </c>
      <c r="K64" s="16"/>
      <c r="L64" s="33"/>
    </row>
    <row r="65" spans="1:17" ht="18.75" x14ac:dyDescent="0.2">
      <c r="A65" s="159"/>
      <c r="B65" s="162"/>
      <c r="C65" s="163"/>
      <c r="D65" s="154">
        <f t="shared" si="19"/>
        <v>0</v>
      </c>
      <c r="E65" s="155"/>
      <c r="F65" s="156"/>
      <c r="G65" s="6" t="s">
        <v>29</v>
      </c>
      <c r="H65" s="6">
        <f t="shared" si="20"/>
        <v>0</v>
      </c>
      <c r="I65" s="15">
        <f>IFERROR(VLOOKUP(D65,设备参数表!D:O,12,FALSE),"0")*$E$3</f>
        <v>0</v>
      </c>
      <c r="J65" s="49">
        <f t="shared" si="21"/>
        <v>0</v>
      </c>
      <c r="K65" s="16"/>
      <c r="L65" s="33"/>
    </row>
    <row r="66" spans="1:17" ht="18.75" x14ac:dyDescent="0.2">
      <c r="A66" s="159"/>
      <c r="B66" s="162"/>
      <c r="C66" s="163"/>
      <c r="D66" s="154">
        <f t="shared" si="16"/>
        <v>0</v>
      </c>
      <c r="E66" s="155"/>
      <c r="F66" s="156"/>
      <c r="G66" s="6" t="s">
        <v>29</v>
      </c>
      <c r="H66" s="6">
        <f t="shared" si="17"/>
        <v>0</v>
      </c>
      <c r="I66" s="15">
        <f>IFERROR(VLOOKUP(D66,设备参数表!D:O,12,FALSE),"0")*$E$3</f>
        <v>0</v>
      </c>
      <c r="J66" s="49">
        <f t="shared" si="18"/>
        <v>0</v>
      </c>
      <c r="K66" s="16"/>
      <c r="L66" s="33"/>
    </row>
    <row r="67" spans="1:17" ht="18.75" x14ac:dyDescent="0.2">
      <c r="A67" s="159"/>
      <c r="B67" s="162"/>
      <c r="C67" s="163"/>
      <c r="D67" s="154">
        <f t="shared" ref="D67" si="22">L67</f>
        <v>0</v>
      </c>
      <c r="E67" s="155"/>
      <c r="F67" s="156"/>
      <c r="G67" s="6" t="s">
        <v>29</v>
      </c>
      <c r="H67" s="6">
        <f t="shared" ref="H67" si="23">SUMIF($D$14:$D$34,D67,$E$14:$E$34)</f>
        <v>0</v>
      </c>
      <c r="I67" s="15">
        <f>IFERROR(VLOOKUP(D67,设备参数表!D:O,12,FALSE),"0")*$E$3</f>
        <v>0</v>
      </c>
      <c r="J67" s="49">
        <f t="shared" ref="J67" si="24">H67*I67</f>
        <v>0</v>
      </c>
      <c r="K67" s="16"/>
      <c r="L67" s="33"/>
    </row>
    <row r="68" spans="1:17" ht="20.100000000000001" customHeight="1" x14ac:dyDescent="0.2">
      <c r="A68" s="6">
        <v>3</v>
      </c>
      <c r="B68" s="157" t="s">
        <v>31</v>
      </c>
      <c r="C68" s="157"/>
      <c r="D68" s="157" t="s">
        <v>411</v>
      </c>
      <c r="E68" s="157"/>
      <c r="F68" s="157"/>
      <c r="G68" s="6" t="s">
        <v>32</v>
      </c>
      <c r="H68" s="6">
        <f>SUM(E14:E34)</f>
        <v>0</v>
      </c>
      <c r="I68" s="15">
        <f>IFERROR(VLOOKUP(D68,设备参数表!D:O,12,FALSE),"0")*$E$3</f>
        <v>412.8</v>
      </c>
      <c r="J68" s="49">
        <f t="shared" si="15"/>
        <v>0</v>
      </c>
      <c r="K68" s="14"/>
      <c r="L68" s="33"/>
    </row>
    <row r="69" spans="1:17" ht="20.100000000000001" customHeight="1" x14ac:dyDescent="0.2">
      <c r="A69" s="157" t="s">
        <v>420</v>
      </c>
      <c r="B69" s="157"/>
      <c r="C69" s="157"/>
      <c r="D69" s="157"/>
      <c r="E69" s="157"/>
      <c r="F69" s="157"/>
      <c r="G69" s="157"/>
      <c r="H69" s="157"/>
      <c r="I69" s="157"/>
      <c r="J69" s="50">
        <f>SUM(J43:J68)</f>
        <v>0</v>
      </c>
      <c r="K69" s="6"/>
      <c r="L69" s="33"/>
    </row>
    <row r="70" spans="1:17" ht="20.100000000000001" customHeight="1" x14ac:dyDescent="0.2">
      <c r="A70" s="17" t="s">
        <v>33</v>
      </c>
      <c r="B70" s="18"/>
      <c r="C70" s="5"/>
      <c r="D70" s="5"/>
      <c r="E70" s="5"/>
      <c r="F70" s="5"/>
      <c r="G70" s="5"/>
      <c r="H70" s="5"/>
      <c r="I70" s="5"/>
      <c r="J70" s="5"/>
      <c r="K70" s="31"/>
      <c r="L70" s="33"/>
    </row>
    <row r="71" spans="1:17" ht="20.100000000000001" customHeight="1" x14ac:dyDescent="0.2">
      <c r="A71" s="26" t="s">
        <v>15</v>
      </c>
      <c r="B71" s="170" t="s">
        <v>34</v>
      </c>
      <c r="C71" s="170"/>
      <c r="D71" s="170"/>
      <c r="E71" s="170"/>
      <c r="F71" s="170"/>
      <c r="G71" s="26" t="s">
        <v>24</v>
      </c>
      <c r="H71" s="26" t="s">
        <v>25</v>
      </c>
      <c r="I71" s="27" t="s">
        <v>26</v>
      </c>
      <c r="J71" s="26" t="s">
        <v>27</v>
      </c>
      <c r="K71" s="26" t="s">
        <v>19</v>
      </c>
      <c r="L71" s="34" t="s">
        <v>542</v>
      </c>
    </row>
    <row r="72" spans="1:17" ht="20.100000000000001" customHeight="1" x14ac:dyDescent="0.2">
      <c r="A72" s="6">
        <v>1</v>
      </c>
      <c r="B72" s="157" t="s">
        <v>35</v>
      </c>
      <c r="C72" s="157"/>
      <c r="D72" s="157"/>
      <c r="E72" s="157"/>
      <c r="F72" s="157"/>
      <c r="G72" s="6" t="s">
        <v>29</v>
      </c>
      <c r="H72" s="6">
        <f>COUNTA(K14:K34)</f>
        <v>0</v>
      </c>
      <c r="I72" s="19">
        <f>L72*$E$4</f>
        <v>800</v>
      </c>
      <c r="J72" s="6">
        <f>H72*I72</f>
        <v>0</v>
      </c>
      <c r="K72" s="6" t="s">
        <v>36</v>
      </c>
      <c r="L72" s="34">
        <v>800</v>
      </c>
    </row>
    <row r="73" spans="1:17" ht="20.100000000000001" customHeight="1" x14ac:dyDescent="0.2">
      <c r="A73" s="6">
        <v>2</v>
      </c>
      <c r="B73" s="157" t="s">
        <v>37</v>
      </c>
      <c r="C73" s="157"/>
      <c r="D73" s="157"/>
      <c r="E73" s="157"/>
      <c r="F73" s="157"/>
      <c r="G73" s="6" t="s">
        <v>29</v>
      </c>
      <c r="H73" s="6">
        <f>H68</f>
        <v>0</v>
      </c>
      <c r="I73" s="19">
        <f t="shared" ref="I73:I75" si="25">L73*$E$4</f>
        <v>400</v>
      </c>
      <c r="J73" s="6">
        <f>H73*I73</f>
        <v>0</v>
      </c>
      <c r="K73" s="6" t="s">
        <v>36</v>
      </c>
      <c r="L73" s="34">
        <v>400</v>
      </c>
    </row>
    <row r="74" spans="1:17" ht="20.100000000000001" customHeight="1" x14ac:dyDescent="0.2">
      <c r="A74" s="6">
        <v>3</v>
      </c>
      <c r="B74" s="157" t="s">
        <v>38</v>
      </c>
      <c r="C74" s="157"/>
      <c r="D74" s="157"/>
      <c r="E74" s="157"/>
      <c r="F74" s="157"/>
      <c r="G74" s="6" t="s">
        <v>32</v>
      </c>
      <c r="H74" s="6">
        <f>H73+H72+5</f>
        <v>5</v>
      </c>
      <c r="I74" s="19">
        <f t="shared" si="25"/>
        <v>100</v>
      </c>
      <c r="J74" s="6">
        <f>H74*I74</f>
        <v>500</v>
      </c>
      <c r="K74" s="6" t="s">
        <v>39</v>
      </c>
      <c r="L74" s="34">
        <v>100</v>
      </c>
    </row>
    <row r="75" spans="1:17" ht="20.100000000000001" customHeight="1" x14ac:dyDescent="0.2">
      <c r="A75" s="6">
        <v>4</v>
      </c>
      <c r="B75" s="157" t="s">
        <v>40</v>
      </c>
      <c r="C75" s="157"/>
      <c r="D75" s="157"/>
      <c r="E75" s="157"/>
      <c r="F75" s="157"/>
      <c r="G75" s="6" t="s">
        <v>41</v>
      </c>
      <c r="H75" s="6">
        <v>1</v>
      </c>
      <c r="I75" s="19">
        <f t="shared" si="25"/>
        <v>300</v>
      </c>
      <c r="J75" s="6">
        <f>H75*I75</f>
        <v>300</v>
      </c>
      <c r="K75" s="6" t="s">
        <v>42</v>
      </c>
      <c r="L75" s="34">
        <v>300</v>
      </c>
    </row>
    <row r="76" spans="1:17" ht="20.100000000000001" customHeight="1" x14ac:dyDescent="0.2">
      <c r="A76" s="157" t="s">
        <v>43</v>
      </c>
      <c r="B76" s="157"/>
      <c r="C76" s="157"/>
      <c r="D76" s="157"/>
      <c r="E76" s="157"/>
      <c r="F76" s="157"/>
      <c r="G76" s="157"/>
      <c r="H76" s="157"/>
      <c r="I76" s="157"/>
      <c r="J76" s="14">
        <f>SUM(J72:J75)</f>
        <v>800</v>
      </c>
      <c r="K76" s="6"/>
    </row>
    <row r="77" spans="1:17" ht="20.100000000000001" customHeight="1" x14ac:dyDescent="0.2">
      <c r="A77" s="17" t="s">
        <v>44</v>
      </c>
      <c r="B77" s="18"/>
      <c r="D77" s="5"/>
      <c r="E77" s="5"/>
      <c r="F77" s="5"/>
      <c r="G77" s="85">
        <v>8</v>
      </c>
      <c r="H77" s="5"/>
      <c r="I77" s="5"/>
      <c r="J77" s="5"/>
      <c r="K77" s="31"/>
    </row>
    <row r="78" spans="1:17" ht="20.100000000000001" customHeight="1" x14ac:dyDescent="0.2">
      <c r="A78" s="26" t="s">
        <v>15</v>
      </c>
      <c r="B78" s="170" t="s">
        <v>22</v>
      </c>
      <c r="C78" s="170"/>
      <c r="D78" s="170" t="s">
        <v>45</v>
      </c>
      <c r="E78" s="170"/>
      <c r="F78" s="170"/>
      <c r="G78" s="26" t="s">
        <v>25</v>
      </c>
      <c r="H78" s="26" t="s">
        <v>26</v>
      </c>
      <c r="I78" s="28" t="s">
        <v>27</v>
      </c>
      <c r="J78" s="170" t="s">
        <v>19</v>
      </c>
      <c r="K78" s="170"/>
      <c r="L78" s="34" t="s">
        <v>542</v>
      </c>
    </row>
    <row r="79" spans="1:17" ht="20.100000000000001" customHeight="1" x14ac:dyDescent="0.2">
      <c r="A79" s="6">
        <v>1</v>
      </c>
      <c r="B79" s="157" t="s">
        <v>46</v>
      </c>
      <c r="C79" s="157"/>
      <c r="D79" s="157" t="s">
        <v>47</v>
      </c>
      <c r="E79" s="157"/>
      <c r="F79" s="157"/>
      <c r="G79" s="6">
        <f>(COUNTIF($G$14:$G34,"&lt;6000"))*$G$77</f>
        <v>0</v>
      </c>
      <c r="H79" s="19">
        <f>L79*$E$4</f>
        <v>18</v>
      </c>
      <c r="I79" s="20">
        <f>G79*H79</f>
        <v>0</v>
      </c>
      <c r="J79" s="169" t="s">
        <v>439</v>
      </c>
      <c r="K79" s="169"/>
      <c r="L79" s="34">
        <v>18</v>
      </c>
      <c r="N79" s="2"/>
      <c r="O79" s="2"/>
      <c r="Q79" s="2"/>
    </row>
    <row r="80" spans="1:17" ht="20.100000000000001" customHeight="1" x14ac:dyDescent="0.2">
      <c r="A80" s="6">
        <v>2</v>
      </c>
      <c r="B80" s="157"/>
      <c r="C80" s="157"/>
      <c r="D80" s="157" t="s">
        <v>48</v>
      </c>
      <c r="E80" s="157"/>
      <c r="F80" s="157"/>
      <c r="G80" s="6">
        <f>(COUNTIF($G$14:$G34,"&gt;6000"))*$G$77+(COUNTIF($F$36:$F$41,"&lt;29000"))*$G$77</f>
        <v>0</v>
      </c>
      <c r="H80" s="19">
        <f t="shared" ref="H80:H98" si="26">L80*$E$4</f>
        <v>25</v>
      </c>
      <c r="I80" s="20">
        <f t="shared" ref="I80:I98" si="27">G80*H80</f>
        <v>0</v>
      </c>
      <c r="J80" s="169"/>
      <c r="K80" s="169"/>
      <c r="L80" s="34">
        <v>25</v>
      </c>
      <c r="N80" s="2"/>
      <c r="O80" s="2"/>
    </row>
    <row r="81" spans="1:14" ht="20.100000000000001" customHeight="1" x14ac:dyDescent="0.2">
      <c r="A81" s="6">
        <v>3</v>
      </c>
      <c r="B81" s="157"/>
      <c r="C81" s="157"/>
      <c r="D81" s="157" t="s">
        <v>49</v>
      </c>
      <c r="E81" s="157"/>
      <c r="F81" s="157"/>
      <c r="G81" s="6">
        <f>(COUNTIF($G$14:$G34,"&lt;6000"))*$G$77+(COUNTIF($F$36:$F$41,"&gt;29000"))*$G$77</f>
        <v>0</v>
      </c>
      <c r="H81" s="19">
        <f t="shared" si="26"/>
        <v>38</v>
      </c>
      <c r="I81" s="20">
        <f t="shared" si="27"/>
        <v>0</v>
      </c>
      <c r="J81" s="169"/>
      <c r="K81" s="169"/>
      <c r="L81" s="34">
        <v>38</v>
      </c>
      <c r="N81" s="2"/>
    </row>
    <row r="82" spans="1:14" ht="20.100000000000001" customHeight="1" x14ac:dyDescent="0.2">
      <c r="A82" s="6">
        <v>4</v>
      </c>
      <c r="B82" s="157"/>
      <c r="C82" s="157"/>
      <c r="D82" s="157" t="s">
        <v>50</v>
      </c>
      <c r="E82" s="157"/>
      <c r="F82" s="157"/>
      <c r="G82" s="6">
        <f>(COUNTIF($G$14:$G34,"&gt;6000"))*$G$77+(COUNTIF($F$36:$F$41,"&lt;17000"))*$G$77</f>
        <v>0</v>
      </c>
      <c r="H82" s="19">
        <f t="shared" si="26"/>
        <v>45</v>
      </c>
      <c r="I82" s="20">
        <f t="shared" si="27"/>
        <v>0</v>
      </c>
      <c r="J82" s="169"/>
      <c r="K82" s="169"/>
      <c r="L82" s="34">
        <v>45</v>
      </c>
      <c r="N82" s="2"/>
    </row>
    <row r="83" spans="1:14" ht="20.100000000000001" customHeight="1" x14ac:dyDescent="0.2">
      <c r="A83" s="6">
        <v>5</v>
      </c>
      <c r="B83" s="157"/>
      <c r="C83" s="157"/>
      <c r="D83" s="157" t="s">
        <v>51</v>
      </c>
      <c r="E83" s="157"/>
      <c r="F83" s="157"/>
      <c r="G83" s="6">
        <f>(COUNTIF($F$36:$F$41,"&gt;17000&amp;&lt;27000"))*$G$77</f>
        <v>0</v>
      </c>
      <c r="H83" s="19">
        <f t="shared" si="26"/>
        <v>55</v>
      </c>
      <c r="I83" s="20">
        <f t="shared" si="27"/>
        <v>0</v>
      </c>
      <c r="J83" s="169"/>
      <c r="K83" s="169"/>
      <c r="L83" s="34">
        <v>55</v>
      </c>
    </row>
    <row r="84" spans="1:14" ht="20.100000000000001" customHeight="1" x14ac:dyDescent="0.2">
      <c r="A84" s="6">
        <v>6</v>
      </c>
      <c r="B84" s="157"/>
      <c r="C84" s="157"/>
      <c r="D84" s="157" t="s">
        <v>52</v>
      </c>
      <c r="E84" s="157"/>
      <c r="F84" s="157"/>
      <c r="G84" s="6">
        <f>(COUNTIF($F$36:$F$41,"=28000"))*$G$77</f>
        <v>0</v>
      </c>
      <c r="H84" s="19">
        <f t="shared" si="26"/>
        <v>71</v>
      </c>
      <c r="I84" s="20">
        <f t="shared" si="27"/>
        <v>0</v>
      </c>
      <c r="J84" s="169"/>
      <c r="K84" s="169"/>
      <c r="L84" s="34">
        <v>71</v>
      </c>
    </row>
    <row r="85" spans="1:14" ht="20.100000000000001" customHeight="1" x14ac:dyDescent="0.2">
      <c r="A85" s="6">
        <v>7</v>
      </c>
      <c r="B85" s="157"/>
      <c r="C85" s="157"/>
      <c r="D85" s="157" t="s">
        <v>53</v>
      </c>
      <c r="E85" s="157"/>
      <c r="F85" s="157"/>
      <c r="G85" s="6">
        <f>(COUNTIF($F$36:$F$41,"&gt;29000"))*$G$77</f>
        <v>0</v>
      </c>
      <c r="H85" s="19">
        <f t="shared" si="26"/>
        <v>84</v>
      </c>
      <c r="I85" s="20">
        <f t="shared" si="27"/>
        <v>0</v>
      </c>
      <c r="J85" s="169"/>
      <c r="K85" s="169"/>
      <c r="L85" s="34">
        <v>84</v>
      </c>
    </row>
    <row r="86" spans="1:14" ht="20.100000000000001" customHeight="1" x14ac:dyDescent="0.2">
      <c r="A86" s="6">
        <v>8</v>
      </c>
      <c r="B86" s="157" t="s">
        <v>54</v>
      </c>
      <c r="C86" s="157"/>
      <c r="D86" s="157" t="s">
        <v>55</v>
      </c>
      <c r="E86" s="157"/>
      <c r="F86" s="157"/>
      <c r="G86" s="6">
        <f>G79</f>
        <v>0</v>
      </c>
      <c r="H86" s="19">
        <f t="shared" si="26"/>
        <v>1.8</v>
      </c>
      <c r="I86" s="20">
        <f t="shared" si="27"/>
        <v>0</v>
      </c>
      <c r="J86" s="169" t="s">
        <v>438</v>
      </c>
      <c r="K86" s="169"/>
      <c r="L86" s="34">
        <v>1.8</v>
      </c>
    </row>
    <row r="87" spans="1:14" ht="20.100000000000001" customHeight="1" x14ac:dyDescent="0.2">
      <c r="A87" s="6">
        <v>9</v>
      </c>
      <c r="B87" s="157"/>
      <c r="C87" s="157"/>
      <c r="D87" s="157" t="s">
        <v>56</v>
      </c>
      <c r="E87" s="157"/>
      <c r="F87" s="157"/>
      <c r="G87" s="6">
        <f t="shared" ref="G87:G92" si="28">G80</f>
        <v>0</v>
      </c>
      <c r="H87" s="19">
        <f t="shared" si="26"/>
        <v>2</v>
      </c>
      <c r="I87" s="20">
        <f t="shared" si="27"/>
        <v>0</v>
      </c>
      <c r="J87" s="169"/>
      <c r="K87" s="169"/>
      <c r="L87" s="34">
        <v>2</v>
      </c>
      <c r="N87" s="2"/>
    </row>
    <row r="88" spans="1:14" ht="20.100000000000001" customHeight="1" x14ac:dyDescent="0.2">
      <c r="A88" s="6">
        <v>10</v>
      </c>
      <c r="B88" s="157"/>
      <c r="C88" s="157"/>
      <c r="D88" s="157" t="s">
        <v>57</v>
      </c>
      <c r="E88" s="157"/>
      <c r="F88" s="157"/>
      <c r="G88" s="6">
        <f t="shared" si="28"/>
        <v>0</v>
      </c>
      <c r="H88" s="19">
        <f t="shared" si="26"/>
        <v>2.2000000000000002</v>
      </c>
      <c r="I88" s="20">
        <f t="shared" si="27"/>
        <v>0</v>
      </c>
      <c r="J88" s="169"/>
      <c r="K88" s="169"/>
      <c r="L88" s="34">
        <v>2.2000000000000002</v>
      </c>
    </row>
    <row r="89" spans="1:14" ht="20.100000000000001" customHeight="1" x14ac:dyDescent="0.2">
      <c r="A89" s="6">
        <v>11</v>
      </c>
      <c r="B89" s="157"/>
      <c r="C89" s="157"/>
      <c r="D89" s="157" t="s">
        <v>58</v>
      </c>
      <c r="E89" s="157"/>
      <c r="F89" s="157"/>
      <c r="G89" s="6">
        <f t="shared" si="28"/>
        <v>0</v>
      </c>
      <c r="H89" s="19">
        <f t="shared" si="26"/>
        <v>2.5</v>
      </c>
      <c r="I89" s="20">
        <f t="shared" si="27"/>
        <v>0</v>
      </c>
      <c r="J89" s="169"/>
      <c r="K89" s="169"/>
      <c r="L89" s="34">
        <v>2.5</v>
      </c>
    </row>
    <row r="90" spans="1:14" ht="20.100000000000001" customHeight="1" x14ac:dyDescent="0.2">
      <c r="A90" s="6">
        <v>12</v>
      </c>
      <c r="B90" s="157"/>
      <c r="C90" s="157"/>
      <c r="D90" s="157" t="s">
        <v>59</v>
      </c>
      <c r="E90" s="157"/>
      <c r="F90" s="157"/>
      <c r="G90" s="6">
        <f t="shared" si="28"/>
        <v>0</v>
      </c>
      <c r="H90" s="19">
        <f t="shared" si="26"/>
        <v>3.8</v>
      </c>
      <c r="I90" s="20">
        <f t="shared" si="27"/>
        <v>0</v>
      </c>
      <c r="J90" s="169"/>
      <c r="K90" s="169"/>
      <c r="L90" s="34">
        <v>3.8</v>
      </c>
    </row>
    <row r="91" spans="1:14" ht="20.100000000000001" customHeight="1" x14ac:dyDescent="0.2">
      <c r="A91" s="6">
        <v>13</v>
      </c>
      <c r="B91" s="157"/>
      <c r="C91" s="157"/>
      <c r="D91" s="157" t="s">
        <v>60</v>
      </c>
      <c r="E91" s="157"/>
      <c r="F91" s="157"/>
      <c r="G91" s="6">
        <f t="shared" si="28"/>
        <v>0</v>
      </c>
      <c r="H91" s="19">
        <f t="shared" si="26"/>
        <v>5</v>
      </c>
      <c r="I91" s="20">
        <f t="shared" si="27"/>
        <v>0</v>
      </c>
      <c r="J91" s="169"/>
      <c r="K91" s="169"/>
      <c r="L91" s="34">
        <v>5</v>
      </c>
    </row>
    <row r="92" spans="1:14" ht="20.100000000000001" customHeight="1" x14ac:dyDescent="0.2">
      <c r="A92" s="6">
        <v>14</v>
      </c>
      <c r="B92" s="157"/>
      <c r="C92" s="157"/>
      <c r="D92" s="157" t="s">
        <v>61</v>
      </c>
      <c r="E92" s="157"/>
      <c r="F92" s="157"/>
      <c r="G92" s="6">
        <f t="shared" si="28"/>
        <v>0</v>
      </c>
      <c r="H92" s="19">
        <f t="shared" si="26"/>
        <v>6</v>
      </c>
      <c r="I92" s="20">
        <f t="shared" si="27"/>
        <v>0</v>
      </c>
      <c r="J92" s="169"/>
      <c r="K92" s="169"/>
      <c r="L92" s="34">
        <v>6</v>
      </c>
    </row>
    <row r="93" spans="1:14" ht="20.100000000000001" customHeight="1" x14ac:dyDescent="0.2">
      <c r="A93" s="6">
        <v>15</v>
      </c>
      <c r="B93" s="157" t="s">
        <v>62</v>
      </c>
      <c r="C93" s="157"/>
      <c r="D93" s="157" t="s">
        <v>63</v>
      </c>
      <c r="E93" s="157"/>
      <c r="F93" s="157"/>
      <c r="G93" s="6">
        <f>H73</f>
        <v>0</v>
      </c>
      <c r="H93" s="19">
        <f t="shared" si="26"/>
        <v>220</v>
      </c>
      <c r="I93" s="20">
        <f t="shared" si="27"/>
        <v>0</v>
      </c>
      <c r="J93" s="157" t="s">
        <v>64</v>
      </c>
      <c r="K93" s="157"/>
      <c r="L93" s="34">
        <v>220</v>
      </c>
    </row>
    <row r="94" spans="1:14" ht="20.100000000000001" customHeight="1" x14ac:dyDescent="0.2">
      <c r="A94" s="6">
        <v>16</v>
      </c>
      <c r="B94" s="157" t="s">
        <v>65</v>
      </c>
      <c r="C94" s="157"/>
      <c r="D94" s="157" t="s">
        <v>63</v>
      </c>
      <c r="E94" s="157"/>
      <c r="F94" s="157"/>
      <c r="G94" s="6">
        <f>G93</f>
        <v>0</v>
      </c>
      <c r="H94" s="19">
        <f t="shared" si="26"/>
        <v>240</v>
      </c>
      <c r="I94" s="20">
        <f t="shared" si="27"/>
        <v>0</v>
      </c>
      <c r="J94" s="157" t="s">
        <v>66</v>
      </c>
      <c r="K94" s="157"/>
      <c r="L94" s="34">
        <v>240</v>
      </c>
    </row>
    <row r="95" spans="1:14" ht="20.100000000000001" customHeight="1" x14ac:dyDescent="0.2">
      <c r="A95" s="6">
        <v>17</v>
      </c>
      <c r="B95" s="157" t="s">
        <v>67</v>
      </c>
      <c r="C95" s="157"/>
      <c r="D95" s="157" t="s">
        <v>68</v>
      </c>
      <c r="E95" s="157"/>
      <c r="F95" s="157"/>
      <c r="G95" s="6">
        <f>H73*11</f>
        <v>0</v>
      </c>
      <c r="H95" s="19">
        <f t="shared" si="26"/>
        <v>5</v>
      </c>
      <c r="I95" s="20">
        <f t="shared" si="27"/>
        <v>0</v>
      </c>
      <c r="J95" s="157" t="s">
        <v>69</v>
      </c>
      <c r="K95" s="157"/>
      <c r="L95" s="34">
        <v>5</v>
      </c>
    </row>
    <row r="96" spans="1:14" ht="20.100000000000001" customHeight="1" x14ac:dyDescent="0.2">
      <c r="A96" s="6">
        <v>18</v>
      </c>
      <c r="B96" s="157" t="s">
        <v>70</v>
      </c>
      <c r="C96" s="157"/>
      <c r="D96" s="157" t="s">
        <v>71</v>
      </c>
      <c r="E96" s="157"/>
      <c r="F96" s="157"/>
      <c r="G96" s="6">
        <v>1</v>
      </c>
      <c r="H96" s="19">
        <f t="shared" si="26"/>
        <v>800</v>
      </c>
      <c r="I96" s="20">
        <f t="shared" si="27"/>
        <v>800</v>
      </c>
      <c r="J96" s="157" t="s">
        <v>72</v>
      </c>
      <c r="K96" s="157"/>
      <c r="L96" s="34">
        <v>800</v>
      </c>
    </row>
    <row r="97" spans="1:12" ht="20.100000000000001" customHeight="1" x14ac:dyDescent="0.2">
      <c r="A97" s="6">
        <v>19</v>
      </c>
      <c r="B97" s="157" t="s">
        <v>73</v>
      </c>
      <c r="C97" s="157"/>
      <c r="D97" s="157"/>
      <c r="E97" s="157"/>
      <c r="F97" s="157"/>
      <c r="G97" s="6">
        <v>1</v>
      </c>
      <c r="H97" s="19">
        <f t="shared" si="26"/>
        <v>300</v>
      </c>
      <c r="I97" s="20">
        <f t="shared" si="27"/>
        <v>300</v>
      </c>
      <c r="J97" s="157" t="s">
        <v>74</v>
      </c>
      <c r="K97" s="157"/>
      <c r="L97" s="34">
        <v>300</v>
      </c>
    </row>
    <row r="98" spans="1:12" ht="20.100000000000001" customHeight="1" x14ac:dyDescent="0.2">
      <c r="A98" s="6">
        <v>20</v>
      </c>
      <c r="B98" s="157" t="s">
        <v>75</v>
      </c>
      <c r="C98" s="157"/>
      <c r="D98" s="157" t="s">
        <v>76</v>
      </c>
      <c r="E98" s="157"/>
      <c r="F98" s="157"/>
      <c r="G98" s="6">
        <v>1</v>
      </c>
      <c r="H98" s="19">
        <f t="shared" si="26"/>
        <v>200</v>
      </c>
      <c r="I98" s="20">
        <f t="shared" si="27"/>
        <v>200</v>
      </c>
      <c r="J98" s="157"/>
      <c r="K98" s="157"/>
      <c r="L98" s="34">
        <v>200</v>
      </c>
    </row>
    <row r="99" spans="1:12" ht="20.100000000000001" customHeight="1" x14ac:dyDescent="0.2">
      <c r="A99" s="6"/>
      <c r="B99" s="157" t="s">
        <v>43</v>
      </c>
      <c r="C99" s="157"/>
      <c r="D99" s="157"/>
      <c r="E99" s="157"/>
      <c r="F99" s="157"/>
      <c r="G99" s="6"/>
      <c r="H99" s="6"/>
      <c r="I99" s="21">
        <f>SUM(I79:I98)</f>
        <v>1300</v>
      </c>
      <c r="J99" s="157"/>
      <c r="K99" s="157"/>
    </row>
    <row r="100" spans="1:12" ht="20.100000000000001" customHeight="1" x14ac:dyDescent="0.2">
      <c r="A100" s="173" t="s">
        <v>77</v>
      </c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</row>
    <row r="101" spans="1:12" ht="27.75" customHeight="1" x14ac:dyDescent="0.2">
      <c r="A101" s="174" t="s">
        <v>78</v>
      </c>
      <c r="B101" s="174"/>
      <c r="C101" s="174"/>
      <c r="D101" s="174"/>
      <c r="E101" s="174" t="s">
        <v>79</v>
      </c>
      <c r="F101" s="174"/>
      <c r="G101" s="174"/>
      <c r="H101" s="174"/>
      <c r="I101" s="175">
        <f>I99+J76+J69</f>
        <v>2100</v>
      </c>
      <c r="J101" s="175"/>
      <c r="K101" s="175"/>
    </row>
    <row r="102" spans="1:12" ht="20.100000000000001" customHeight="1" x14ac:dyDescent="0.2">
      <c r="A102" s="176" t="s">
        <v>80</v>
      </c>
      <c r="B102" s="176"/>
      <c r="C102" s="176"/>
      <c r="D102" s="176"/>
      <c r="E102" s="176"/>
      <c r="F102" s="176"/>
      <c r="G102" s="176"/>
      <c r="H102" s="176"/>
      <c r="I102" s="176"/>
      <c r="J102" s="176"/>
      <c r="K102" s="176"/>
    </row>
    <row r="103" spans="1:12" ht="20.100000000000001" customHeight="1" x14ac:dyDescent="0.2">
      <c r="A103" s="172" t="s">
        <v>418</v>
      </c>
      <c r="B103" s="172"/>
      <c r="C103" s="172"/>
      <c r="D103" s="172"/>
      <c r="E103" s="172"/>
      <c r="F103" s="172"/>
      <c r="G103" s="172"/>
      <c r="H103" s="172"/>
      <c r="I103" s="172"/>
      <c r="J103" s="172"/>
      <c r="K103" s="172"/>
    </row>
    <row r="104" spans="1:12" ht="20.100000000000001" customHeight="1" x14ac:dyDescent="0.2">
      <c r="A104" s="172" t="s">
        <v>81</v>
      </c>
      <c r="B104" s="172"/>
      <c r="C104" s="172"/>
      <c r="D104" s="172"/>
      <c r="E104" s="172"/>
      <c r="F104" s="172"/>
      <c r="G104" s="172"/>
      <c r="H104" s="172"/>
      <c r="I104" s="172"/>
      <c r="J104" s="172"/>
      <c r="K104" s="172"/>
    </row>
    <row r="105" spans="1:12" ht="20.100000000000001" customHeight="1" x14ac:dyDescent="0.2">
      <c r="A105" s="172" t="s">
        <v>82</v>
      </c>
      <c r="B105" s="172"/>
      <c r="C105" s="172"/>
      <c r="D105" s="172"/>
      <c r="E105" s="172"/>
      <c r="F105" s="172"/>
      <c r="G105" s="172"/>
      <c r="H105" s="172"/>
      <c r="I105" s="172"/>
      <c r="J105" s="172"/>
      <c r="K105" s="172"/>
    </row>
    <row r="106" spans="1:12" ht="20.100000000000001" customHeight="1" x14ac:dyDescent="0.2">
      <c r="A106" s="172" t="s">
        <v>83</v>
      </c>
      <c r="B106" s="172"/>
      <c r="C106" s="172"/>
      <c r="D106" s="172"/>
      <c r="E106" s="172"/>
      <c r="F106" s="172"/>
      <c r="G106" s="172"/>
      <c r="H106" s="172"/>
      <c r="I106" s="172"/>
      <c r="J106" s="172"/>
      <c r="K106" s="172"/>
    </row>
    <row r="107" spans="1:12" ht="20.100000000000001" customHeight="1" x14ac:dyDescent="0.2">
      <c r="A107" s="172" t="s">
        <v>84</v>
      </c>
      <c r="B107" s="172"/>
      <c r="C107" s="172"/>
      <c r="D107" s="172"/>
      <c r="E107" s="172"/>
      <c r="F107" s="172"/>
      <c r="G107" s="172"/>
      <c r="H107" s="172"/>
      <c r="I107" s="172"/>
      <c r="J107" s="172"/>
      <c r="K107" s="172"/>
    </row>
    <row r="108" spans="1:12" ht="20.100000000000001" customHeight="1" x14ac:dyDescent="0.2"/>
    <row r="109" spans="1:12" ht="20.100000000000001" customHeight="1" x14ac:dyDescent="0.2"/>
    <row r="110" spans="1:12" ht="20.100000000000001" customHeight="1" x14ac:dyDescent="0.2"/>
    <row r="111" spans="1:12" ht="20.100000000000001" customHeight="1" x14ac:dyDescent="0.2"/>
    <row r="112" spans="1:12" ht="20.100000000000001" customHeight="1" x14ac:dyDescent="0.2"/>
    <row r="113" ht="20.100000000000001" customHeight="1" x14ac:dyDescent="0.2"/>
    <row r="114" ht="20.100000000000001" customHeight="1" x14ac:dyDescent="0.2"/>
    <row r="115" ht="20.100000000000001" customHeight="1" x14ac:dyDescent="0.2"/>
    <row r="116" ht="20.100000000000001" customHeight="1" x14ac:dyDescent="0.2"/>
    <row r="117" ht="20.100000000000001" customHeight="1" x14ac:dyDescent="0.2"/>
    <row r="118" ht="20.100000000000001" customHeight="1" x14ac:dyDescent="0.2"/>
    <row r="119" ht="20.100000000000001" customHeight="1" x14ac:dyDescent="0.2"/>
    <row r="120" ht="20.100000000000001" customHeight="1" x14ac:dyDescent="0.2"/>
    <row r="121" ht="20.100000000000001" customHeight="1" x14ac:dyDescent="0.2"/>
    <row r="122" ht="20.100000000000001" customHeight="1" x14ac:dyDescent="0.2"/>
    <row r="123" ht="20.100000000000001" customHeight="1" x14ac:dyDescent="0.2"/>
    <row r="124" ht="20.100000000000001" customHeight="1" x14ac:dyDescent="0.2"/>
    <row r="125" ht="20.100000000000001" customHeight="1" x14ac:dyDescent="0.2"/>
    <row r="126" ht="20.100000000000001" customHeight="1" x14ac:dyDescent="0.2"/>
    <row r="127" ht="20.100000000000001" customHeight="1" x14ac:dyDescent="0.2"/>
    <row r="128" ht="20.100000000000001" customHeight="1" x14ac:dyDescent="0.2"/>
    <row r="129" ht="20.100000000000001" customHeight="1" x14ac:dyDescent="0.2"/>
  </sheetData>
  <dataConsolidate/>
  <mergeCells count="113">
    <mergeCell ref="C39:E39"/>
    <mergeCell ref="I39:J39"/>
    <mergeCell ref="A6:K6"/>
    <mergeCell ref="C37:E37"/>
    <mergeCell ref="I37:J37"/>
    <mergeCell ref="C38:E38"/>
    <mergeCell ref="I38:J38"/>
    <mergeCell ref="C36:E36"/>
    <mergeCell ref="I36:J36"/>
    <mergeCell ref="A8:K8"/>
    <mergeCell ref="A10:K10"/>
    <mergeCell ref="A12:A13"/>
    <mergeCell ref="B12:B13"/>
    <mergeCell ref="D12:D13"/>
    <mergeCell ref="E12:E13"/>
    <mergeCell ref="A107:K107"/>
    <mergeCell ref="B99:C99"/>
    <mergeCell ref="D99:F99"/>
    <mergeCell ref="J99:K99"/>
    <mergeCell ref="A100:K100"/>
    <mergeCell ref="A101:D101"/>
    <mergeCell ref="E101:H101"/>
    <mergeCell ref="I101:K101"/>
    <mergeCell ref="A102:K102"/>
    <mergeCell ref="A103:K103"/>
    <mergeCell ref="A104:K104"/>
    <mergeCell ref="A105:K105"/>
    <mergeCell ref="A106:K106"/>
    <mergeCell ref="A69:C69"/>
    <mergeCell ref="D69:I69"/>
    <mergeCell ref="C40:E40"/>
    <mergeCell ref="I40:J40"/>
    <mergeCell ref="B93:C93"/>
    <mergeCell ref="D93:F93"/>
    <mergeCell ref="J93:K93"/>
    <mergeCell ref="B94:C94"/>
    <mergeCell ref="D94:F94"/>
    <mergeCell ref="J94:K94"/>
    <mergeCell ref="B86:C92"/>
    <mergeCell ref="D86:F86"/>
    <mergeCell ref="J86:K92"/>
    <mergeCell ref="D87:F87"/>
    <mergeCell ref="D88:F88"/>
    <mergeCell ref="D89:F89"/>
    <mergeCell ref="D90:F90"/>
    <mergeCell ref="D91:F91"/>
    <mergeCell ref="D92:F92"/>
    <mergeCell ref="B78:C78"/>
    <mergeCell ref="D78:F78"/>
    <mergeCell ref="J78:K78"/>
    <mergeCell ref="B79:C85"/>
    <mergeCell ref="D79:F79"/>
    <mergeCell ref="J98:K98"/>
    <mergeCell ref="B95:C95"/>
    <mergeCell ref="D95:F95"/>
    <mergeCell ref="J95:K95"/>
    <mergeCell ref="B96:C96"/>
    <mergeCell ref="D96:F96"/>
    <mergeCell ref="J96:K96"/>
    <mergeCell ref="B97:C97"/>
    <mergeCell ref="D97:F97"/>
    <mergeCell ref="J97:K97"/>
    <mergeCell ref="B98:C98"/>
    <mergeCell ref="D98:F98"/>
    <mergeCell ref="J79:K85"/>
    <mergeCell ref="D80:F80"/>
    <mergeCell ref="D81:F81"/>
    <mergeCell ref="B71:F71"/>
    <mergeCell ref="B72:F72"/>
    <mergeCell ref="B73:F73"/>
    <mergeCell ref="B74:F74"/>
    <mergeCell ref="B75:F75"/>
    <mergeCell ref="D82:F82"/>
    <mergeCell ref="D83:F83"/>
    <mergeCell ref="D84:F84"/>
    <mergeCell ref="D85:F85"/>
    <mergeCell ref="A76:C76"/>
    <mergeCell ref="D76:I76"/>
    <mergeCell ref="A43:A47"/>
    <mergeCell ref="B43:C47"/>
    <mergeCell ref="I35:J35"/>
    <mergeCell ref="C35:E35"/>
    <mergeCell ref="D45:F45"/>
    <mergeCell ref="D47:F47"/>
    <mergeCell ref="D67:F67"/>
    <mergeCell ref="D44:F44"/>
    <mergeCell ref="D43:F43"/>
    <mergeCell ref="B42:C42"/>
    <mergeCell ref="D59:F59"/>
    <mergeCell ref="D66:F66"/>
    <mergeCell ref="D60:F60"/>
    <mergeCell ref="D61:F61"/>
    <mergeCell ref="D62:F62"/>
    <mergeCell ref="D63:F63"/>
    <mergeCell ref="D64:F64"/>
    <mergeCell ref="D65:F65"/>
    <mergeCell ref="D42:F42"/>
    <mergeCell ref="D46:F46"/>
    <mergeCell ref="D50:F50"/>
    <mergeCell ref="D51:F51"/>
    <mergeCell ref="D52:F52"/>
    <mergeCell ref="D53:F53"/>
    <mergeCell ref="D54:F54"/>
    <mergeCell ref="D55:F55"/>
    <mergeCell ref="D56:F56"/>
    <mergeCell ref="D57:F57"/>
    <mergeCell ref="D58:F58"/>
    <mergeCell ref="B68:C68"/>
    <mergeCell ref="D68:F68"/>
    <mergeCell ref="A48:A67"/>
    <mergeCell ref="B48:C67"/>
    <mergeCell ref="D49:F49"/>
    <mergeCell ref="D48:F48"/>
  </mergeCells>
  <phoneticPr fontId="1" type="noConversion"/>
  <conditionalFormatting sqref="N14:N33">
    <cfRule type="expression" dxfId="0" priority="1">
      <formula>G14&gt;=N14</formula>
    </cfRule>
  </conditionalFormatting>
  <printOptions horizontalCentered="1" verticalCentered="1"/>
  <pageMargins left="0.25" right="0.25" top="0.75" bottom="0.75" header="0.3" footer="0.3"/>
  <pageSetup paperSize="9" scale="4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24451F3-F993-4F4D-B789-1FD94D18F1BC}">
          <x14:formula1>
            <xm:f>设备参数表!$D$288:$D$293</xm:f>
          </x14:formula1>
          <xm:sqref>D68:F68</xm:sqref>
        </x14:dataValidation>
        <x14:dataValidation type="list" allowBlank="1" showInputMessage="1" showErrorMessage="1" xr:uid="{A33F2021-F49A-4FDE-95FF-25B085FA9158}">
          <x14:formula1>
            <xm:f>设备参数表!$D$5:$D$54</xm:f>
          </x14:formula1>
          <xm:sqref>D14:D33</xm:sqref>
        </x14:dataValidation>
        <x14:dataValidation type="list" allowBlank="1" showInputMessage="1" showErrorMessage="1" xr:uid="{91A30CAF-F14F-4780-BFC4-E050AE107A26}">
          <x14:formula1>
            <xm:f>设备参数表!$L$158:$L$280</xm:f>
          </x14:formula1>
          <xm:sqref>D2</xm:sqref>
        </x14:dataValidation>
        <x14:dataValidation type="list" allowBlank="1" showInputMessage="1" showErrorMessage="1" xr:uid="{30B139EF-CD35-4D2A-B9FB-FAF801E7A786}">
          <x14:formula1>
            <xm:f>设备参数表!$D$158:$D$198</xm:f>
          </x14:formula1>
          <xm:sqref>K14:K33</xm:sqref>
        </x14:dataValidation>
        <x14:dataValidation type="list" allowBlank="1" showInputMessage="1" showErrorMessage="1" xr:uid="{2CBCD210-E63F-49A0-B0A8-1F7A90904F7E}">
          <x14:formula1>
            <xm:f>设备参数表!$L$5:$L$156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9EC33-8C45-4592-94A0-F4D6DD20686C}">
  <sheetPr codeName="Sheet8"/>
  <dimension ref="A1:P309"/>
  <sheetViews>
    <sheetView topLeftCell="C1" zoomScale="115" zoomScaleNormal="115" workbookViewId="0">
      <pane ySplit="2" topLeftCell="A279" activePane="bottomLeft" state="frozen"/>
      <selection pane="bottomLeft" activeCell="N286" sqref="N286"/>
    </sheetView>
  </sheetViews>
  <sheetFormatPr defaultRowHeight="15" customHeight="1" x14ac:dyDescent="0.2"/>
  <cols>
    <col min="1" max="1" width="6.375" style="72" bestFit="1" customWidth="1"/>
    <col min="2" max="2" width="8" style="73" bestFit="1" customWidth="1"/>
    <col min="3" max="3" width="45.625" style="72" bestFit="1" customWidth="1"/>
    <col min="4" max="4" width="18.375" style="72" bestFit="1" customWidth="1"/>
    <col min="5" max="5" width="8" style="72" customWidth="1"/>
    <col min="6" max="6" width="12.875" style="72" customWidth="1"/>
    <col min="7" max="7" width="9.625" style="76" customWidth="1"/>
    <col min="8" max="8" width="11.375" style="72" customWidth="1"/>
    <col min="9" max="9" width="13.125" style="72" customWidth="1"/>
    <col min="10" max="10" width="15" style="72" customWidth="1"/>
    <col min="11" max="11" width="14.625" style="72" customWidth="1"/>
    <col min="12" max="12" width="15.375" style="73" customWidth="1"/>
    <col min="13" max="13" width="11.375" style="72" customWidth="1"/>
    <col min="14" max="14" width="16.25" style="72" bestFit="1" customWidth="1"/>
    <col min="15" max="15" width="11.75" style="58" bestFit="1" customWidth="1"/>
    <col min="16" max="16" width="15.5" style="72" bestFit="1" customWidth="1"/>
    <col min="17" max="17" width="9.375" style="72" bestFit="1" customWidth="1"/>
    <col min="18" max="18" width="15.75" style="72" bestFit="1" customWidth="1"/>
    <col min="19" max="19" width="21.25" style="72" bestFit="1" customWidth="1"/>
    <col min="20" max="20" width="17.125" style="72" bestFit="1" customWidth="1"/>
    <col min="21" max="21" width="9.375" style="72" bestFit="1" customWidth="1"/>
    <col min="22" max="22" width="20.25" style="72" bestFit="1" customWidth="1"/>
    <col min="23" max="23" width="20.5" style="72" bestFit="1" customWidth="1"/>
    <col min="24" max="258" width="9" style="72"/>
    <col min="259" max="259" width="39.375" style="72" customWidth="1"/>
    <col min="260" max="260" width="18.375" style="72" bestFit="1" customWidth="1"/>
    <col min="261" max="261" width="9" style="72"/>
    <col min="262" max="262" width="10.5" style="72" customWidth="1"/>
    <col min="263" max="266" width="9" style="72"/>
    <col min="267" max="267" width="13.875" style="72" bestFit="1" customWidth="1"/>
    <col min="268" max="269" width="9" style="72"/>
    <col min="270" max="270" width="15.25" style="72" customWidth="1"/>
    <col min="271" max="271" width="13.375" style="72" bestFit="1" customWidth="1"/>
    <col min="272" max="272" width="15.5" style="72" bestFit="1" customWidth="1"/>
    <col min="273" max="274" width="9" style="72"/>
    <col min="275" max="276" width="17.125" style="72" bestFit="1" customWidth="1"/>
    <col min="277" max="514" width="9" style="72"/>
    <col min="515" max="515" width="39.375" style="72" customWidth="1"/>
    <col min="516" max="516" width="18.375" style="72" bestFit="1" customWidth="1"/>
    <col min="517" max="517" width="9" style="72"/>
    <col min="518" max="518" width="10.5" style="72" customWidth="1"/>
    <col min="519" max="522" width="9" style="72"/>
    <col min="523" max="523" width="13.875" style="72" bestFit="1" customWidth="1"/>
    <col min="524" max="525" width="9" style="72"/>
    <col min="526" max="526" width="15.25" style="72" customWidth="1"/>
    <col min="527" max="527" width="13.375" style="72" bestFit="1" customWidth="1"/>
    <col min="528" max="528" width="15.5" style="72" bestFit="1" customWidth="1"/>
    <col min="529" max="530" width="9" style="72"/>
    <col min="531" max="532" width="17.125" style="72" bestFit="1" customWidth="1"/>
    <col min="533" max="770" width="9" style="72"/>
    <col min="771" max="771" width="39.375" style="72" customWidth="1"/>
    <col min="772" max="772" width="18.375" style="72" bestFit="1" customWidth="1"/>
    <col min="773" max="773" width="9" style="72"/>
    <col min="774" max="774" width="10.5" style="72" customWidth="1"/>
    <col min="775" max="778" width="9" style="72"/>
    <col min="779" max="779" width="13.875" style="72" bestFit="1" customWidth="1"/>
    <col min="780" max="781" width="9" style="72"/>
    <col min="782" max="782" width="15.25" style="72" customWidth="1"/>
    <col min="783" max="783" width="13.375" style="72" bestFit="1" customWidth="1"/>
    <col min="784" max="784" width="15.5" style="72" bestFit="1" customWidth="1"/>
    <col min="785" max="786" width="9" style="72"/>
    <col min="787" max="788" width="17.125" style="72" bestFit="1" customWidth="1"/>
    <col min="789" max="1026" width="9" style="72"/>
    <col min="1027" max="1027" width="39.375" style="72" customWidth="1"/>
    <col min="1028" max="1028" width="18.375" style="72" bestFit="1" customWidth="1"/>
    <col min="1029" max="1029" width="9" style="72"/>
    <col min="1030" max="1030" width="10.5" style="72" customWidth="1"/>
    <col min="1031" max="1034" width="9" style="72"/>
    <col min="1035" max="1035" width="13.875" style="72" bestFit="1" customWidth="1"/>
    <col min="1036" max="1037" width="9" style="72"/>
    <col min="1038" max="1038" width="15.25" style="72" customWidth="1"/>
    <col min="1039" max="1039" width="13.375" style="72" bestFit="1" customWidth="1"/>
    <col min="1040" max="1040" width="15.5" style="72" bestFit="1" customWidth="1"/>
    <col min="1041" max="1042" width="9" style="72"/>
    <col min="1043" max="1044" width="17.125" style="72" bestFit="1" customWidth="1"/>
    <col min="1045" max="1282" width="9" style="72"/>
    <col min="1283" max="1283" width="39.375" style="72" customWidth="1"/>
    <col min="1284" max="1284" width="18.375" style="72" bestFit="1" customWidth="1"/>
    <col min="1285" max="1285" width="9" style="72"/>
    <col min="1286" max="1286" width="10.5" style="72" customWidth="1"/>
    <col min="1287" max="1290" width="9" style="72"/>
    <col min="1291" max="1291" width="13.875" style="72" bestFit="1" customWidth="1"/>
    <col min="1292" max="1293" width="9" style="72"/>
    <col min="1294" max="1294" width="15.25" style="72" customWidth="1"/>
    <col min="1295" max="1295" width="13.375" style="72" bestFit="1" customWidth="1"/>
    <col min="1296" max="1296" width="15.5" style="72" bestFit="1" customWidth="1"/>
    <col min="1297" max="1298" width="9" style="72"/>
    <col min="1299" max="1300" width="17.125" style="72" bestFit="1" customWidth="1"/>
    <col min="1301" max="1538" width="9" style="72"/>
    <col min="1539" max="1539" width="39.375" style="72" customWidth="1"/>
    <col min="1540" max="1540" width="18.375" style="72" bestFit="1" customWidth="1"/>
    <col min="1541" max="1541" width="9" style="72"/>
    <col min="1542" max="1542" width="10.5" style="72" customWidth="1"/>
    <col min="1543" max="1546" width="9" style="72"/>
    <col min="1547" max="1547" width="13.875" style="72" bestFit="1" customWidth="1"/>
    <col min="1548" max="1549" width="9" style="72"/>
    <col min="1550" max="1550" width="15.25" style="72" customWidth="1"/>
    <col min="1551" max="1551" width="13.375" style="72" bestFit="1" customWidth="1"/>
    <col min="1552" max="1552" width="15.5" style="72" bestFit="1" customWidth="1"/>
    <col min="1553" max="1554" width="9" style="72"/>
    <col min="1555" max="1556" width="17.125" style="72" bestFit="1" customWidth="1"/>
    <col min="1557" max="1794" width="9" style="72"/>
    <col min="1795" max="1795" width="39.375" style="72" customWidth="1"/>
    <col min="1796" max="1796" width="18.375" style="72" bestFit="1" customWidth="1"/>
    <col min="1797" max="1797" width="9" style="72"/>
    <col min="1798" max="1798" width="10.5" style="72" customWidth="1"/>
    <col min="1799" max="1802" width="9" style="72"/>
    <col min="1803" max="1803" width="13.875" style="72" bestFit="1" customWidth="1"/>
    <col min="1804" max="1805" width="9" style="72"/>
    <col min="1806" max="1806" width="15.25" style="72" customWidth="1"/>
    <col min="1807" max="1807" width="13.375" style="72" bestFit="1" customWidth="1"/>
    <col min="1808" max="1808" width="15.5" style="72" bestFit="1" customWidth="1"/>
    <col min="1809" max="1810" width="9" style="72"/>
    <col min="1811" max="1812" width="17.125" style="72" bestFit="1" customWidth="1"/>
    <col min="1813" max="2050" width="9" style="72"/>
    <col min="2051" max="2051" width="39.375" style="72" customWidth="1"/>
    <col min="2052" max="2052" width="18.375" style="72" bestFit="1" customWidth="1"/>
    <col min="2053" max="2053" width="9" style="72"/>
    <col min="2054" max="2054" width="10.5" style="72" customWidth="1"/>
    <col min="2055" max="2058" width="9" style="72"/>
    <col min="2059" max="2059" width="13.875" style="72" bestFit="1" customWidth="1"/>
    <col min="2060" max="2061" width="9" style="72"/>
    <col min="2062" max="2062" width="15.25" style="72" customWidth="1"/>
    <col min="2063" max="2063" width="13.375" style="72" bestFit="1" customWidth="1"/>
    <col min="2064" max="2064" width="15.5" style="72" bestFit="1" customWidth="1"/>
    <col min="2065" max="2066" width="9" style="72"/>
    <col min="2067" max="2068" width="17.125" style="72" bestFit="1" customWidth="1"/>
    <col min="2069" max="2306" width="9" style="72"/>
    <col min="2307" max="2307" width="39.375" style="72" customWidth="1"/>
    <col min="2308" max="2308" width="18.375" style="72" bestFit="1" customWidth="1"/>
    <col min="2309" max="2309" width="9" style="72"/>
    <col min="2310" max="2310" width="10.5" style="72" customWidth="1"/>
    <col min="2311" max="2314" width="9" style="72"/>
    <col min="2315" max="2315" width="13.875" style="72" bestFit="1" customWidth="1"/>
    <col min="2316" max="2317" width="9" style="72"/>
    <col min="2318" max="2318" width="15.25" style="72" customWidth="1"/>
    <col min="2319" max="2319" width="13.375" style="72" bestFit="1" customWidth="1"/>
    <col min="2320" max="2320" width="15.5" style="72" bestFit="1" customWidth="1"/>
    <col min="2321" max="2322" width="9" style="72"/>
    <col min="2323" max="2324" width="17.125" style="72" bestFit="1" customWidth="1"/>
    <col min="2325" max="2562" width="9" style="72"/>
    <col min="2563" max="2563" width="39.375" style="72" customWidth="1"/>
    <col min="2564" max="2564" width="18.375" style="72" bestFit="1" customWidth="1"/>
    <col min="2565" max="2565" width="9" style="72"/>
    <col min="2566" max="2566" width="10.5" style="72" customWidth="1"/>
    <col min="2567" max="2570" width="9" style="72"/>
    <col min="2571" max="2571" width="13.875" style="72" bestFit="1" customWidth="1"/>
    <col min="2572" max="2573" width="9" style="72"/>
    <col min="2574" max="2574" width="15.25" style="72" customWidth="1"/>
    <col min="2575" max="2575" width="13.375" style="72" bestFit="1" customWidth="1"/>
    <col min="2576" max="2576" width="15.5" style="72" bestFit="1" customWidth="1"/>
    <col min="2577" max="2578" width="9" style="72"/>
    <col min="2579" max="2580" width="17.125" style="72" bestFit="1" customWidth="1"/>
    <col min="2581" max="2818" width="9" style="72"/>
    <col min="2819" max="2819" width="39.375" style="72" customWidth="1"/>
    <col min="2820" max="2820" width="18.375" style="72" bestFit="1" customWidth="1"/>
    <col min="2821" max="2821" width="9" style="72"/>
    <col min="2822" max="2822" width="10.5" style="72" customWidth="1"/>
    <col min="2823" max="2826" width="9" style="72"/>
    <col min="2827" max="2827" width="13.875" style="72" bestFit="1" customWidth="1"/>
    <col min="2828" max="2829" width="9" style="72"/>
    <col min="2830" max="2830" width="15.25" style="72" customWidth="1"/>
    <col min="2831" max="2831" width="13.375" style="72" bestFit="1" customWidth="1"/>
    <col min="2832" max="2832" width="15.5" style="72" bestFit="1" customWidth="1"/>
    <col min="2833" max="2834" width="9" style="72"/>
    <col min="2835" max="2836" width="17.125" style="72" bestFit="1" customWidth="1"/>
    <col min="2837" max="3074" width="9" style="72"/>
    <col min="3075" max="3075" width="39.375" style="72" customWidth="1"/>
    <col min="3076" max="3076" width="18.375" style="72" bestFit="1" customWidth="1"/>
    <col min="3077" max="3077" width="9" style="72"/>
    <col min="3078" max="3078" width="10.5" style="72" customWidth="1"/>
    <col min="3079" max="3082" width="9" style="72"/>
    <col min="3083" max="3083" width="13.875" style="72" bestFit="1" customWidth="1"/>
    <col min="3084" max="3085" width="9" style="72"/>
    <col min="3086" max="3086" width="15.25" style="72" customWidth="1"/>
    <col min="3087" max="3087" width="13.375" style="72" bestFit="1" customWidth="1"/>
    <col min="3088" max="3088" width="15.5" style="72" bestFit="1" customWidth="1"/>
    <col min="3089" max="3090" width="9" style="72"/>
    <col min="3091" max="3092" width="17.125" style="72" bestFit="1" customWidth="1"/>
    <col min="3093" max="3330" width="9" style="72"/>
    <col min="3331" max="3331" width="39.375" style="72" customWidth="1"/>
    <col min="3332" max="3332" width="18.375" style="72" bestFit="1" customWidth="1"/>
    <col min="3333" max="3333" width="9" style="72"/>
    <col min="3334" max="3334" width="10.5" style="72" customWidth="1"/>
    <col min="3335" max="3338" width="9" style="72"/>
    <col min="3339" max="3339" width="13.875" style="72" bestFit="1" customWidth="1"/>
    <col min="3340" max="3341" width="9" style="72"/>
    <col min="3342" max="3342" width="15.25" style="72" customWidth="1"/>
    <col min="3343" max="3343" width="13.375" style="72" bestFit="1" customWidth="1"/>
    <col min="3344" max="3344" width="15.5" style="72" bestFit="1" customWidth="1"/>
    <col min="3345" max="3346" width="9" style="72"/>
    <col min="3347" max="3348" width="17.125" style="72" bestFit="1" customWidth="1"/>
    <col min="3349" max="3586" width="9" style="72"/>
    <col min="3587" max="3587" width="39.375" style="72" customWidth="1"/>
    <col min="3588" max="3588" width="18.375" style="72" bestFit="1" customWidth="1"/>
    <col min="3589" max="3589" width="9" style="72"/>
    <col min="3590" max="3590" width="10.5" style="72" customWidth="1"/>
    <col min="3591" max="3594" width="9" style="72"/>
    <col min="3595" max="3595" width="13.875" style="72" bestFit="1" customWidth="1"/>
    <col min="3596" max="3597" width="9" style="72"/>
    <col min="3598" max="3598" width="15.25" style="72" customWidth="1"/>
    <col min="3599" max="3599" width="13.375" style="72" bestFit="1" customWidth="1"/>
    <col min="3600" max="3600" width="15.5" style="72" bestFit="1" customWidth="1"/>
    <col min="3601" max="3602" width="9" style="72"/>
    <col min="3603" max="3604" width="17.125" style="72" bestFit="1" customWidth="1"/>
    <col min="3605" max="3842" width="9" style="72"/>
    <col min="3843" max="3843" width="39.375" style="72" customWidth="1"/>
    <col min="3844" max="3844" width="18.375" style="72" bestFit="1" customWidth="1"/>
    <col min="3845" max="3845" width="9" style="72"/>
    <col min="3846" max="3846" width="10.5" style="72" customWidth="1"/>
    <col min="3847" max="3850" width="9" style="72"/>
    <col min="3851" max="3851" width="13.875" style="72" bestFit="1" customWidth="1"/>
    <col min="3852" max="3853" width="9" style="72"/>
    <col min="3854" max="3854" width="15.25" style="72" customWidth="1"/>
    <col min="3855" max="3855" width="13.375" style="72" bestFit="1" customWidth="1"/>
    <col min="3856" max="3856" width="15.5" style="72" bestFit="1" customWidth="1"/>
    <col min="3857" max="3858" width="9" style="72"/>
    <col min="3859" max="3860" width="17.125" style="72" bestFit="1" customWidth="1"/>
    <col min="3861" max="4098" width="9" style="72"/>
    <col min="4099" max="4099" width="39.375" style="72" customWidth="1"/>
    <col min="4100" max="4100" width="18.375" style="72" bestFit="1" customWidth="1"/>
    <col min="4101" max="4101" width="9" style="72"/>
    <col min="4102" max="4102" width="10.5" style="72" customWidth="1"/>
    <col min="4103" max="4106" width="9" style="72"/>
    <col min="4107" max="4107" width="13.875" style="72" bestFit="1" customWidth="1"/>
    <col min="4108" max="4109" width="9" style="72"/>
    <col min="4110" max="4110" width="15.25" style="72" customWidth="1"/>
    <col min="4111" max="4111" width="13.375" style="72" bestFit="1" customWidth="1"/>
    <col min="4112" max="4112" width="15.5" style="72" bestFit="1" customWidth="1"/>
    <col min="4113" max="4114" width="9" style="72"/>
    <col min="4115" max="4116" width="17.125" style="72" bestFit="1" customWidth="1"/>
    <col min="4117" max="4354" width="9" style="72"/>
    <col min="4355" max="4355" width="39.375" style="72" customWidth="1"/>
    <col min="4356" max="4356" width="18.375" style="72" bestFit="1" customWidth="1"/>
    <col min="4357" max="4357" width="9" style="72"/>
    <col min="4358" max="4358" width="10.5" style="72" customWidth="1"/>
    <col min="4359" max="4362" width="9" style="72"/>
    <col min="4363" max="4363" width="13.875" style="72" bestFit="1" customWidth="1"/>
    <col min="4364" max="4365" width="9" style="72"/>
    <col min="4366" max="4366" width="15.25" style="72" customWidth="1"/>
    <col min="4367" max="4367" width="13.375" style="72" bestFit="1" customWidth="1"/>
    <col min="4368" max="4368" width="15.5" style="72" bestFit="1" customWidth="1"/>
    <col min="4369" max="4370" width="9" style="72"/>
    <col min="4371" max="4372" width="17.125" style="72" bestFit="1" customWidth="1"/>
    <col min="4373" max="4610" width="9" style="72"/>
    <col min="4611" max="4611" width="39.375" style="72" customWidth="1"/>
    <col min="4612" max="4612" width="18.375" style="72" bestFit="1" customWidth="1"/>
    <col min="4613" max="4613" width="9" style="72"/>
    <col min="4614" max="4614" width="10.5" style="72" customWidth="1"/>
    <col min="4615" max="4618" width="9" style="72"/>
    <col min="4619" max="4619" width="13.875" style="72" bestFit="1" customWidth="1"/>
    <col min="4620" max="4621" width="9" style="72"/>
    <col min="4622" max="4622" width="15.25" style="72" customWidth="1"/>
    <col min="4623" max="4623" width="13.375" style="72" bestFit="1" customWidth="1"/>
    <col min="4624" max="4624" width="15.5" style="72" bestFit="1" customWidth="1"/>
    <col min="4625" max="4626" width="9" style="72"/>
    <col min="4627" max="4628" width="17.125" style="72" bestFit="1" customWidth="1"/>
    <col min="4629" max="4866" width="9" style="72"/>
    <col min="4867" max="4867" width="39.375" style="72" customWidth="1"/>
    <col min="4868" max="4868" width="18.375" style="72" bestFit="1" customWidth="1"/>
    <col min="4869" max="4869" width="9" style="72"/>
    <col min="4870" max="4870" width="10.5" style="72" customWidth="1"/>
    <col min="4871" max="4874" width="9" style="72"/>
    <col min="4875" max="4875" width="13.875" style="72" bestFit="1" customWidth="1"/>
    <col min="4876" max="4877" width="9" style="72"/>
    <col min="4878" max="4878" width="15.25" style="72" customWidth="1"/>
    <col min="4879" max="4879" width="13.375" style="72" bestFit="1" customWidth="1"/>
    <col min="4880" max="4880" width="15.5" style="72" bestFit="1" customWidth="1"/>
    <col min="4881" max="4882" width="9" style="72"/>
    <col min="4883" max="4884" width="17.125" style="72" bestFit="1" customWidth="1"/>
    <col min="4885" max="5122" width="9" style="72"/>
    <col min="5123" max="5123" width="39.375" style="72" customWidth="1"/>
    <col min="5124" max="5124" width="18.375" style="72" bestFit="1" customWidth="1"/>
    <col min="5125" max="5125" width="9" style="72"/>
    <col min="5126" max="5126" width="10.5" style="72" customWidth="1"/>
    <col min="5127" max="5130" width="9" style="72"/>
    <col min="5131" max="5131" width="13.875" style="72" bestFit="1" customWidth="1"/>
    <col min="5132" max="5133" width="9" style="72"/>
    <col min="5134" max="5134" width="15.25" style="72" customWidth="1"/>
    <col min="5135" max="5135" width="13.375" style="72" bestFit="1" customWidth="1"/>
    <col min="5136" max="5136" width="15.5" style="72" bestFit="1" customWidth="1"/>
    <col min="5137" max="5138" width="9" style="72"/>
    <col min="5139" max="5140" width="17.125" style="72" bestFit="1" customWidth="1"/>
    <col min="5141" max="5378" width="9" style="72"/>
    <col min="5379" max="5379" width="39.375" style="72" customWidth="1"/>
    <col min="5380" max="5380" width="18.375" style="72" bestFit="1" customWidth="1"/>
    <col min="5381" max="5381" width="9" style="72"/>
    <col min="5382" max="5382" width="10.5" style="72" customWidth="1"/>
    <col min="5383" max="5386" width="9" style="72"/>
    <col min="5387" max="5387" width="13.875" style="72" bestFit="1" customWidth="1"/>
    <col min="5388" max="5389" width="9" style="72"/>
    <col min="5390" max="5390" width="15.25" style="72" customWidth="1"/>
    <col min="5391" max="5391" width="13.375" style="72" bestFit="1" customWidth="1"/>
    <col min="5392" max="5392" width="15.5" style="72" bestFit="1" customWidth="1"/>
    <col min="5393" max="5394" width="9" style="72"/>
    <col min="5395" max="5396" width="17.125" style="72" bestFit="1" customWidth="1"/>
    <col min="5397" max="5634" width="9" style="72"/>
    <col min="5635" max="5635" width="39.375" style="72" customWidth="1"/>
    <col min="5636" max="5636" width="18.375" style="72" bestFit="1" customWidth="1"/>
    <col min="5637" max="5637" width="9" style="72"/>
    <col min="5638" max="5638" width="10.5" style="72" customWidth="1"/>
    <col min="5639" max="5642" width="9" style="72"/>
    <col min="5643" max="5643" width="13.875" style="72" bestFit="1" customWidth="1"/>
    <col min="5644" max="5645" width="9" style="72"/>
    <col min="5646" max="5646" width="15.25" style="72" customWidth="1"/>
    <col min="5647" max="5647" width="13.375" style="72" bestFit="1" customWidth="1"/>
    <col min="5648" max="5648" width="15.5" style="72" bestFit="1" customWidth="1"/>
    <col min="5649" max="5650" width="9" style="72"/>
    <col min="5651" max="5652" width="17.125" style="72" bestFit="1" customWidth="1"/>
    <col min="5653" max="5890" width="9" style="72"/>
    <col min="5891" max="5891" width="39.375" style="72" customWidth="1"/>
    <col min="5892" max="5892" width="18.375" style="72" bestFit="1" customWidth="1"/>
    <col min="5893" max="5893" width="9" style="72"/>
    <col min="5894" max="5894" width="10.5" style="72" customWidth="1"/>
    <col min="5895" max="5898" width="9" style="72"/>
    <col min="5899" max="5899" width="13.875" style="72" bestFit="1" customWidth="1"/>
    <col min="5900" max="5901" width="9" style="72"/>
    <col min="5902" max="5902" width="15.25" style="72" customWidth="1"/>
    <col min="5903" max="5903" width="13.375" style="72" bestFit="1" customWidth="1"/>
    <col min="5904" max="5904" width="15.5" style="72" bestFit="1" customWidth="1"/>
    <col min="5905" max="5906" width="9" style="72"/>
    <col min="5907" max="5908" width="17.125" style="72" bestFit="1" customWidth="1"/>
    <col min="5909" max="6146" width="9" style="72"/>
    <col min="6147" max="6147" width="39.375" style="72" customWidth="1"/>
    <col min="6148" max="6148" width="18.375" style="72" bestFit="1" customWidth="1"/>
    <col min="6149" max="6149" width="9" style="72"/>
    <col min="6150" max="6150" width="10.5" style="72" customWidth="1"/>
    <col min="6151" max="6154" width="9" style="72"/>
    <col min="6155" max="6155" width="13.875" style="72" bestFit="1" customWidth="1"/>
    <col min="6156" max="6157" width="9" style="72"/>
    <col min="6158" max="6158" width="15.25" style="72" customWidth="1"/>
    <col min="6159" max="6159" width="13.375" style="72" bestFit="1" customWidth="1"/>
    <col min="6160" max="6160" width="15.5" style="72" bestFit="1" customWidth="1"/>
    <col min="6161" max="6162" width="9" style="72"/>
    <col min="6163" max="6164" width="17.125" style="72" bestFit="1" customWidth="1"/>
    <col min="6165" max="6402" width="9" style="72"/>
    <col min="6403" max="6403" width="39.375" style="72" customWidth="1"/>
    <col min="6404" max="6404" width="18.375" style="72" bestFit="1" customWidth="1"/>
    <col min="6405" max="6405" width="9" style="72"/>
    <col min="6406" max="6406" width="10.5" style="72" customWidth="1"/>
    <col min="6407" max="6410" width="9" style="72"/>
    <col min="6411" max="6411" width="13.875" style="72" bestFit="1" customWidth="1"/>
    <col min="6412" max="6413" width="9" style="72"/>
    <col min="6414" max="6414" width="15.25" style="72" customWidth="1"/>
    <col min="6415" max="6415" width="13.375" style="72" bestFit="1" customWidth="1"/>
    <col min="6416" max="6416" width="15.5" style="72" bestFit="1" customWidth="1"/>
    <col min="6417" max="6418" width="9" style="72"/>
    <col min="6419" max="6420" width="17.125" style="72" bestFit="1" customWidth="1"/>
    <col min="6421" max="6658" width="9" style="72"/>
    <col min="6659" max="6659" width="39.375" style="72" customWidth="1"/>
    <col min="6660" max="6660" width="18.375" style="72" bestFit="1" customWidth="1"/>
    <col min="6661" max="6661" width="9" style="72"/>
    <col min="6662" max="6662" width="10.5" style="72" customWidth="1"/>
    <col min="6663" max="6666" width="9" style="72"/>
    <col min="6667" max="6667" width="13.875" style="72" bestFit="1" customWidth="1"/>
    <col min="6668" max="6669" width="9" style="72"/>
    <col min="6670" max="6670" width="15.25" style="72" customWidth="1"/>
    <col min="6671" max="6671" width="13.375" style="72" bestFit="1" customWidth="1"/>
    <col min="6672" max="6672" width="15.5" style="72" bestFit="1" customWidth="1"/>
    <col min="6673" max="6674" width="9" style="72"/>
    <col min="6675" max="6676" width="17.125" style="72" bestFit="1" customWidth="1"/>
    <col min="6677" max="6914" width="9" style="72"/>
    <col min="6915" max="6915" width="39.375" style="72" customWidth="1"/>
    <col min="6916" max="6916" width="18.375" style="72" bestFit="1" customWidth="1"/>
    <col min="6917" max="6917" width="9" style="72"/>
    <col min="6918" max="6918" width="10.5" style="72" customWidth="1"/>
    <col min="6919" max="6922" width="9" style="72"/>
    <col min="6923" max="6923" width="13.875" style="72" bestFit="1" customWidth="1"/>
    <col min="6924" max="6925" width="9" style="72"/>
    <col min="6926" max="6926" width="15.25" style="72" customWidth="1"/>
    <col min="6927" max="6927" width="13.375" style="72" bestFit="1" customWidth="1"/>
    <col min="6928" max="6928" width="15.5" style="72" bestFit="1" customWidth="1"/>
    <col min="6929" max="6930" width="9" style="72"/>
    <col min="6931" max="6932" width="17.125" style="72" bestFit="1" customWidth="1"/>
    <col min="6933" max="7170" width="9" style="72"/>
    <col min="7171" max="7171" width="39.375" style="72" customWidth="1"/>
    <col min="7172" max="7172" width="18.375" style="72" bestFit="1" customWidth="1"/>
    <col min="7173" max="7173" width="9" style="72"/>
    <col min="7174" max="7174" width="10.5" style="72" customWidth="1"/>
    <col min="7175" max="7178" width="9" style="72"/>
    <col min="7179" max="7179" width="13.875" style="72" bestFit="1" customWidth="1"/>
    <col min="7180" max="7181" width="9" style="72"/>
    <col min="7182" max="7182" width="15.25" style="72" customWidth="1"/>
    <col min="7183" max="7183" width="13.375" style="72" bestFit="1" customWidth="1"/>
    <col min="7184" max="7184" width="15.5" style="72" bestFit="1" customWidth="1"/>
    <col min="7185" max="7186" width="9" style="72"/>
    <col min="7187" max="7188" width="17.125" style="72" bestFit="1" customWidth="1"/>
    <col min="7189" max="7426" width="9" style="72"/>
    <col min="7427" max="7427" width="39.375" style="72" customWidth="1"/>
    <col min="7428" max="7428" width="18.375" style="72" bestFit="1" customWidth="1"/>
    <col min="7429" max="7429" width="9" style="72"/>
    <col min="7430" max="7430" width="10.5" style="72" customWidth="1"/>
    <col min="7431" max="7434" width="9" style="72"/>
    <col min="7435" max="7435" width="13.875" style="72" bestFit="1" customWidth="1"/>
    <col min="7436" max="7437" width="9" style="72"/>
    <col min="7438" max="7438" width="15.25" style="72" customWidth="1"/>
    <col min="7439" max="7439" width="13.375" style="72" bestFit="1" customWidth="1"/>
    <col min="7440" max="7440" width="15.5" style="72" bestFit="1" customWidth="1"/>
    <col min="7441" max="7442" width="9" style="72"/>
    <col min="7443" max="7444" width="17.125" style="72" bestFit="1" customWidth="1"/>
    <col min="7445" max="7682" width="9" style="72"/>
    <col min="7683" max="7683" width="39.375" style="72" customWidth="1"/>
    <col min="7684" max="7684" width="18.375" style="72" bestFit="1" customWidth="1"/>
    <col min="7685" max="7685" width="9" style="72"/>
    <col min="7686" max="7686" width="10.5" style="72" customWidth="1"/>
    <col min="7687" max="7690" width="9" style="72"/>
    <col min="7691" max="7691" width="13.875" style="72" bestFit="1" customWidth="1"/>
    <col min="7692" max="7693" width="9" style="72"/>
    <col min="7694" max="7694" width="15.25" style="72" customWidth="1"/>
    <col min="7695" max="7695" width="13.375" style="72" bestFit="1" customWidth="1"/>
    <col min="7696" max="7696" width="15.5" style="72" bestFit="1" customWidth="1"/>
    <col min="7697" max="7698" width="9" style="72"/>
    <col min="7699" max="7700" width="17.125" style="72" bestFit="1" customWidth="1"/>
    <col min="7701" max="7938" width="9" style="72"/>
    <col min="7939" max="7939" width="39.375" style="72" customWidth="1"/>
    <col min="7940" max="7940" width="18.375" style="72" bestFit="1" customWidth="1"/>
    <col min="7941" max="7941" width="9" style="72"/>
    <col min="7942" max="7942" width="10.5" style="72" customWidth="1"/>
    <col min="7943" max="7946" width="9" style="72"/>
    <col min="7947" max="7947" width="13.875" style="72" bestFit="1" customWidth="1"/>
    <col min="7948" max="7949" width="9" style="72"/>
    <col min="7950" max="7950" width="15.25" style="72" customWidth="1"/>
    <col min="7951" max="7951" width="13.375" style="72" bestFit="1" customWidth="1"/>
    <col min="7952" max="7952" width="15.5" style="72" bestFit="1" customWidth="1"/>
    <col min="7953" max="7954" width="9" style="72"/>
    <col min="7955" max="7956" width="17.125" style="72" bestFit="1" customWidth="1"/>
    <col min="7957" max="8194" width="9" style="72"/>
    <col min="8195" max="8195" width="39.375" style="72" customWidth="1"/>
    <col min="8196" max="8196" width="18.375" style="72" bestFit="1" customWidth="1"/>
    <col min="8197" max="8197" width="9" style="72"/>
    <col min="8198" max="8198" width="10.5" style="72" customWidth="1"/>
    <col min="8199" max="8202" width="9" style="72"/>
    <col min="8203" max="8203" width="13.875" style="72" bestFit="1" customWidth="1"/>
    <col min="8204" max="8205" width="9" style="72"/>
    <col min="8206" max="8206" width="15.25" style="72" customWidth="1"/>
    <col min="8207" max="8207" width="13.375" style="72" bestFit="1" customWidth="1"/>
    <col min="8208" max="8208" width="15.5" style="72" bestFit="1" customWidth="1"/>
    <col min="8209" max="8210" width="9" style="72"/>
    <col min="8211" max="8212" width="17.125" style="72" bestFit="1" customWidth="1"/>
    <col min="8213" max="8450" width="9" style="72"/>
    <col min="8451" max="8451" width="39.375" style="72" customWidth="1"/>
    <col min="8452" max="8452" width="18.375" style="72" bestFit="1" customWidth="1"/>
    <col min="8453" max="8453" width="9" style="72"/>
    <col min="8454" max="8454" width="10.5" style="72" customWidth="1"/>
    <col min="8455" max="8458" width="9" style="72"/>
    <col min="8459" max="8459" width="13.875" style="72" bestFit="1" customWidth="1"/>
    <col min="8460" max="8461" width="9" style="72"/>
    <col min="8462" max="8462" width="15.25" style="72" customWidth="1"/>
    <col min="8463" max="8463" width="13.375" style="72" bestFit="1" customWidth="1"/>
    <col min="8464" max="8464" width="15.5" style="72" bestFit="1" customWidth="1"/>
    <col min="8465" max="8466" width="9" style="72"/>
    <col min="8467" max="8468" width="17.125" style="72" bestFit="1" customWidth="1"/>
    <col min="8469" max="8706" width="9" style="72"/>
    <col min="8707" max="8707" width="39.375" style="72" customWidth="1"/>
    <col min="8708" max="8708" width="18.375" style="72" bestFit="1" customWidth="1"/>
    <col min="8709" max="8709" width="9" style="72"/>
    <col min="8710" max="8710" width="10.5" style="72" customWidth="1"/>
    <col min="8711" max="8714" width="9" style="72"/>
    <col min="8715" max="8715" width="13.875" style="72" bestFit="1" customWidth="1"/>
    <col min="8716" max="8717" width="9" style="72"/>
    <col min="8718" max="8718" width="15.25" style="72" customWidth="1"/>
    <col min="8719" max="8719" width="13.375" style="72" bestFit="1" customWidth="1"/>
    <col min="8720" max="8720" width="15.5" style="72" bestFit="1" customWidth="1"/>
    <col min="8721" max="8722" width="9" style="72"/>
    <col min="8723" max="8724" width="17.125" style="72" bestFit="1" customWidth="1"/>
    <col min="8725" max="8962" width="9" style="72"/>
    <col min="8963" max="8963" width="39.375" style="72" customWidth="1"/>
    <col min="8964" max="8964" width="18.375" style="72" bestFit="1" customWidth="1"/>
    <col min="8965" max="8965" width="9" style="72"/>
    <col min="8966" max="8966" width="10.5" style="72" customWidth="1"/>
    <col min="8967" max="8970" width="9" style="72"/>
    <col min="8971" max="8971" width="13.875" style="72" bestFit="1" customWidth="1"/>
    <col min="8972" max="8973" width="9" style="72"/>
    <col min="8974" max="8974" width="15.25" style="72" customWidth="1"/>
    <col min="8975" max="8975" width="13.375" style="72" bestFit="1" customWidth="1"/>
    <col min="8976" max="8976" width="15.5" style="72" bestFit="1" customWidth="1"/>
    <col min="8977" max="8978" width="9" style="72"/>
    <col min="8979" max="8980" width="17.125" style="72" bestFit="1" customWidth="1"/>
    <col min="8981" max="9218" width="9" style="72"/>
    <col min="9219" max="9219" width="39.375" style="72" customWidth="1"/>
    <col min="9220" max="9220" width="18.375" style="72" bestFit="1" customWidth="1"/>
    <col min="9221" max="9221" width="9" style="72"/>
    <col min="9222" max="9222" width="10.5" style="72" customWidth="1"/>
    <col min="9223" max="9226" width="9" style="72"/>
    <col min="9227" max="9227" width="13.875" style="72" bestFit="1" customWidth="1"/>
    <col min="9228" max="9229" width="9" style="72"/>
    <col min="9230" max="9230" width="15.25" style="72" customWidth="1"/>
    <col min="9231" max="9231" width="13.375" style="72" bestFit="1" customWidth="1"/>
    <col min="9232" max="9232" width="15.5" style="72" bestFit="1" customWidth="1"/>
    <col min="9233" max="9234" width="9" style="72"/>
    <col min="9235" max="9236" width="17.125" style="72" bestFit="1" customWidth="1"/>
    <col min="9237" max="9474" width="9" style="72"/>
    <col min="9475" max="9475" width="39.375" style="72" customWidth="1"/>
    <col min="9476" max="9476" width="18.375" style="72" bestFit="1" customWidth="1"/>
    <col min="9477" max="9477" width="9" style="72"/>
    <col min="9478" max="9478" width="10.5" style="72" customWidth="1"/>
    <col min="9479" max="9482" width="9" style="72"/>
    <col min="9483" max="9483" width="13.875" style="72" bestFit="1" customWidth="1"/>
    <col min="9484" max="9485" width="9" style="72"/>
    <col min="9486" max="9486" width="15.25" style="72" customWidth="1"/>
    <col min="9487" max="9487" width="13.375" style="72" bestFit="1" customWidth="1"/>
    <col min="9488" max="9488" width="15.5" style="72" bestFit="1" customWidth="1"/>
    <col min="9489" max="9490" width="9" style="72"/>
    <col min="9491" max="9492" width="17.125" style="72" bestFit="1" customWidth="1"/>
    <col min="9493" max="9730" width="9" style="72"/>
    <col min="9731" max="9731" width="39.375" style="72" customWidth="1"/>
    <col min="9732" max="9732" width="18.375" style="72" bestFit="1" customWidth="1"/>
    <col min="9733" max="9733" width="9" style="72"/>
    <col min="9734" max="9734" width="10.5" style="72" customWidth="1"/>
    <col min="9735" max="9738" width="9" style="72"/>
    <col min="9739" max="9739" width="13.875" style="72" bestFit="1" customWidth="1"/>
    <col min="9740" max="9741" width="9" style="72"/>
    <col min="9742" max="9742" width="15.25" style="72" customWidth="1"/>
    <col min="9743" max="9743" width="13.375" style="72" bestFit="1" customWidth="1"/>
    <col min="9744" max="9744" width="15.5" style="72" bestFit="1" customWidth="1"/>
    <col min="9745" max="9746" width="9" style="72"/>
    <col min="9747" max="9748" width="17.125" style="72" bestFit="1" customWidth="1"/>
    <col min="9749" max="9986" width="9" style="72"/>
    <col min="9987" max="9987" width="39.375" style="72" customWidth="1"/>
    <col min="9988" max="9988" width="18.375" style="72" bestFit="1" customWidth="1"/>
    <col min="9989" max="9989" width="9" style="72"/>
    <col min="9990" max="9990" width="10.5" style="72" customWidth="1"/>
    <col min="9991" max="9994" width="9" style="72"/>
    <col min="9995" max="9995" width="13.875" style="72" bestFit="1" customWidth="1"/>
    <col min="9996" max="9997" width="9" style="72"/>
    <col min="9998" max="9998" width="15.25" style="72" customWidth="1"/>
    <col min="9999" max="9999" width="13.375" style="72" bestFit="1" customWidth="1"/>
    <col min="10000" max="10000" width="15.5" style="72" bestFit="1" customWidth="1"/>
    <col min="10001" max="10002" width="9" style="72"/>
    <col min="10003" max="10004" width="17.125" style="72" bestFit="1" customWidth="1"/>
    <col min="10005" max="10242" width="9" style="72"/>
    <col min="10243" max="10243" width="39.375" style="72" customWidth="1"/>
    <col min="10244" max="10244" width="18.375" style="72" bestFit="1" customWidth="1"/>
    <col min="10245" max="10245" width="9" style="72"/>
    <col min="10246" max="10246" width="10.5" style="72" customWidth="1"/>
    <col min="10247" max="10250" width="9" style="72"/>
    <col min="10251" max="10251" width="13.875" style="72" bestFit="1" customWidth="1"/>
    <col min="10252" max="10253" width="9" style="72"/>
    <col min="10254" max="10254" width="15.25" style="72" customWidth="1"/>
    <col min="10255" max="10255" width="13.375" style="72" bestFit="1" customWidth="1"/>
    <col min="10256" max="10256" width="15.5" style="72" bestFit="1" customWidth="1"/>
    <col min="10257" max="10258" width="9" style="72"/>
    <col min="10259" max="10260" width="17.125" style="72" bestFit="1" customWidth="1"/>
    <col min="10261" max="10498" width="9" style="72"/>
    <col min="10499" max="10499" width="39.375" style="72" customWidth="1"/>
    <col min="10500" max="10500" width="18.375" style="72" bestFit="1" customWidth="1"/>
    <col min="10501" max="10501" width="9" style="72"/>
    <col min="10502" max="10502" width="10.5" style="72" customWidth="1"/>
    <col min="10503" max="10506" width="9" style="72"/>
    <col min="10507" max="10507" width="13.875" style="72" bestFit="1" customWidth="1"/>
    <col min="10508" max="10509" width="9" style="72"/>
    <col min="10510" max="10510" width="15.25" style="72" customWidth="1"/>
    <col min="10511" max="10511" width="13.375" style="72" bestFit="1" customWidth="1"/>
    <col min="10512" max="10512" width="15.5" style="72" bestFit="1" customWidth="1"/>
    <col min="10513" max="10514" width="9" style="72"/>
    <col min="10515" max="10516" width="17.125" style="72" bestFit="1" customWidth="1"/>
    <col min="10517" max="10754" width="9" style="72"/>
    <col min="10755" max="10755" width="39.375" style="72" customWidth="1"/>
    <col min="10756" max="10756" width="18.375" style="72" bestFit="1" customWidth="1"/>
    <col min="10757" max="10757" width="9" style="72"/>
    <col min="10758" max="10758" width="10.5" style="72" customWidth="1"/>
    <col min="10759" max="10762" width="9" style="72"/>
    <col min="10763" max="10763" width="13.875" style="72" bestFit="1" customWidth="1"/>
    <col min="10764" max="10765" width="9" style="72"/>
    <col min="10766" max="10766" width="15.25" style="72" customWidth="1"/>
    <col min="10767" max="10767" width="13.375" style="72" bestFit="1" customWidth="1"/>
    <col min="10768" max="10768" width="15.5" style="72" bestFit="1" customWidth="1"/>
    <col min="10769" max="10770" width="9" style="72"/>
    <col min="10771" max="10772" width="17.125" style="72" bestFit="1" customWidth="1"/>
    <col min="10773" max="11010" width="9" style="72"/>
    <col min="11011" max="11011" width="39.375" style="72" customWidth="1"/>
    <col min="11012" max="11012" width="18.375" style="72" bestFit="1" customWidth="1"/>
    <col min="11013" max="11013" width="9" style="72"/>
    <col min="11014" max="11014" width="10.5" style="72" customWidth="1"/>
    <col min="11015" max="11018" width="9" style="72"/>
    <col min="11019" max="11019" width="13.875" style="72" bestFit="1" customWidth="1"/>
    <col min="11020" max="11021" width="9" style="72"/>
    <col min="11022" max="11022" width="15.25" style="72" customWidth="1"/>
    <col min="11023" max="11023" width="13.375" style="72" bestFit="1" customWidth="1"/>
    <col min="11024" max="11024" width="15.5" style="72" bestFit="1" customWidth="1"/>
    <col min="11025" max="11026" width="9" style="72"/>
    <col min="11027" max="11028" width="17.125" style="72" bestFit="1" customWidth="1"/>
    <col min="11029" max="11266" width="9" style="72"/>
    <col min="11267" max="11267" width="39.375" style="72" customWidth="1"/>
    <col min="11268" max="11268" width="18.375" style="72" bestFit="1" customWidth="1"/>
    <col min="11269" max="11269" width="9" style="72"/>
    <col min="11270" max="11270" width="10.5" style="72" customWidth="1"/>
    <col min="11271" max="11274" width="9" style="72"/>
    <col min="11275" max="11275" width="13.875" style="72" bestFit="1" customWidth="1"/>
    <col min="11276" max="11277" width="9" style="72"/>
    <col min="11278" max="11278" width="15.25" style="72" customWidth="1"/>
    <col min="11279" max="11279" width="13.375" style="72" bestFit="1" customWidth="1"/>
    <col min="11280" max="11280" width="15.5" style="72" bestFit="1" customWidth="1"/>
    <col min="11281" max="11282" width="9" style="72"/>
    <col min="11283" max="11284" width="17.125" style="72" bestFit="1" customWidth="1"/>
    <col min="11285" max="11522" width="9" style="72"/>
    <col min="11523" max="11523" width="39.375" style="72" customWidth="1"/>
    <col min="11524" max="11524" width="18.375" style="72" bestFit="1" customWidth="1"/>
    <col min="11525" max="11525" width="9" style="72"/>
    <col min="11526" max="11526" width="10.5" style="72" customWidth="1"/>
    <col min="11527" max="11530" width="9" style="72"/>
    <col min="11531" max="11531" width="13.875" style="72" bestFit="1" customWidth="1"/>
    <col min="11532" max="11533" width="9" style="72"/>
    <col min="11534" max="11534" width="15.25" style="72" customWidth="1"/>
    <col min="11535" max="11535" width="13.375" style="72" bestFit="1" customWidth="1"/>
    <col min="11536" max="11536" width="15.5" style="72" bestFit="1" customWidth="1"/>
    <col min="11537" max="11538" width="9" style="72"/>
    <col min="11539" max="11540" width="17.125" style="72" bestFit="1" customWidth="1"/>
    <col min="11541" max="11778" width="9" style="72"/>
    <col min="11779" max="11779" width="39.375" style="72" customWidth="1"/>
    <col min="11780" max="11780" width="18.375" style="72" bestFit="1" customWidth="1"/>
    <col min="11781" max="11781" width="9" style="72"/>
    <col min="11782" max="11782" width="10.5" style="72" customWidth="1"/>
    <col min="11783" max="11786" width="9" style="72"/>
    <col min="11787" max="11787" width="13.875" style="72" bestFit="1" customWidth="1"/>
    <col min="11788" max="11789" width="9" style="72"/>
    <col min="11790" max="11790" width="15.25" style="72" customWidth="1"/>
    <col min="11791" max="11791" width="13.375" style="72" bestFit="1" customWidth="1"/>
    <col min="11792" max="11792" width="15.5" style="72" bestFit="1" customWidth="1"/>
    <col min="11793" max="11794" width="9" style="72"/>
    <col min="11795" max="11796" width="17.125" style="72" bestFit="1" customWidth="1"/>
    <col min="11797" max="12034" width="9" style="72"/>
    <col min="12035" max="12035" width="39.375" style="72" customWidth="1"/>
    <col min="12036" max="12036" width="18.375" style="72" bestFit="1" customWidth="1"/>
    <col min="12037" max="12037" width="9" style="72"/>
    <col min="12038" max="12038" width="10.5" style="72" customWidth="1"/>
    <col min="12039" max="12042" width="9" style="72"/>
    <col min="12043" max="12043" width="13.875" style="72" bestFit="1" customWidth="1"/>
    <col min="12044" max="12045" width="9" style="72"/>
    <col min="12046" max="12046" width="15.25" style="72" customWidth="1"/>
    <col min="12047" max="12047" width="13.375" style="72" bestFit="1" customWidth="1"/>
    <col min="12048" max="12048" width="15.5" style="72" bestFit="1" customWidth="1"/>
    <col min="12049" max="12050" width="9" style="72"/>
    <col min="12051" max="12052" width="17.125" style="72" bestFit="1" customWidth="1"/>
    <col min="12053" max="12290" width="9" style="72"/>
    <col min="12291" max="12291" width="39.375" style="72" customWidth="1"/>
    <col min="12292" max="12292" width="18.375" style="72" bestFit="1" customWidth="1"/>
    <col min="12293" max="12293" width="9" style="72"/>
    <col min="12294" max="12294" width="10.5" style="72" customWidth="1"/>
    <col min="12295" max="12298" width="9" style="72"/>
    <col min="12299" max="12299" width="13.875" style="72" bestFit="1" customWidth="1"/>
    <col min="12300" max="12301" width="9" style="72"/>
    <col min="12302" max="12302" width="15.25" style="72" customWidth="1"/>
    <col min="12303" max="12303" width="13.375" style="72" bestFit="1" customWidth="1"/>
    <col min="12304" max="12304" width="15.5" style="72" bestFit="1" customWidth="1"/>
    <col min="12305" max="12306" width="9" style="72"/>
    <col min="12307" max="12308" width="17.125" style="72" bestFit="1" customWidth="1"/>
    <col min="12309" max="12546" width="9" style="72"/>
    <col min="12547" max="12547" width="39.375" style="72" customWidth="1"/>
    <col min="12548" max="12548" width="18.375" style="72" bestFit="1" customWidth="1"/>
    <col min="12549" max="12549" width="9" style="72"/>
    <col min="12550" max="12550" width="10.5" style="72" customWidth="1"/>
    <col min="12551" max="12554" width="9" style="72"/>
    <col min="12555" max="12555" width="13.875" style="72" bestFit="1" customWidth="1"/>
    <col min="12556" max="12557" width="9" style="72"/>
    <col min="12558" max="12558" width="15.25" style="72" customWidth="1"/>
    <col min="12559" max="12559" width="13.375" style="72" bestFit="1" customWidth="1"/>
    <col min="12560" max="12560" width="15.5" style="72" bestFit="1" customWidth="1"/>
    <col min="12561" max="12562" width="9" style="72"/>
    <col min="12563" max="12564" width="17.125" style="72" bestFit="1" customWidth="1"/>
    <col min="12565" max="12802" width="9" style="72"/>
    <col min="12803" max="12803" width="39.375" style="72" customWidth="1"/>
    <col min="12804" max="12804" width="18.375" style="72" bestFit="1" customWidth="1"/>
    <col min="12805" max="12805" width="9" style="72"/>
    <col min="12806" max="12806" width="10.5" style="72" customWidth="1"/>
    <col min="12807" max="12810" width="9" style="72"/>
    <col min="12811" max="12811" width="13.875" style="72" bestFit="1" customWidth="1"/>
    <col min="12812" max="12813" width="9" style="72"/>
    <col min="12814" max="12814" width="15.25" style="72" customWidth="1"/>
    <col min="12815" max="12815" width="13.375" style="72" bestFit="1" customWidth="1"/>
    <col min="12816" max="12816" width="15.5" style="72" bestFit="1" customWidth="1"/>
    <col min="12817" max="12818" width="9" style="72"/>
    <col min="12819" max="12820" width="17.125" style="72" bestFit="1" customWidth="1"/>
    <col min="12821" max="13058" width="9" style="72"/>
    <col min="13059" max="13059" width="39.375" style="72" customWidth="1"/>
    <col min="13060" max="13060" width="18.375" style="72" bestFit="1" customWidth="1"/>
    <col min="13061" max="13061" width="9" style="72"/>
    <col min="13062" max="13062" width="10.5" style="72" customWidth="1"/>
    <col min="13063" max="13066" width="9" style="72"/>
    <col min="13067" max="13067" width="13.875" style="72" bestFit="1" customWidth="1"/>
    <col min="13068" max="13069" width="9" style="72"/>
    <col min="13070" max="13070" width="15.25" style="72" customWidth="1"/>
    <col min="13071" max="13071" width="13.375" style="72" bestFit="1" customWidth="1"/>
    <col min="13072" max="13072" width="15.5" style="72" bestFit="1" customWidth="1"/>
    <col min="13073" max="13074" width="9" style="72"/>
    <col min="13075" max="13076" width="17.125" style="72" bestFit="1" customWidth="1"/>
    <col min="13077" max="13314" width="9" style="72"/>
    <col min="13315" max="13315" width="39.375" style="72" customWidth="1"/>
    <col min="13316" max="13316" width="18.375" style="72" bestFit="1" customWidth="1"/>
    <col min="13317" max="13317" width="9" style="72"/>
    <col min="13318" max="13318" width="10.5" style="72" customWidth="1"/>
    <col min="13319" max="13322" width="9" style="72"/>
    <col min="13323" max="13323" width="13.875" style="72" bestFit="1" customWidth="1"/>
    <col min="13324" max="13325" width="9" style="72"/>
    <col min="13326" max="13326" width="15.25" style="72" customWidth="1"/>
    <col min="13327" max="13327" width="13.375" style="72" bestFit="1" customWidth="1"/>
    <col min="13328" max="13328" width="15.5" style="72" bestFit="1" customWidth="1"/>
    <col min="13329" max="13330" width="9" style="72"/>
    <col min="13331" max="13332" width="17.125" style="72" bestFit="1" customWidth="1"/>
    <col min="13333" max="13570" width="9" style="72"/>
    <col min="13571" max="13571" width="39.375" style="72" customWidth="1"/>
    <col min="13572" max="13572" width="18.375" style="72" bestFit="1" customWidth="1"/>
    <col min="13573" max="13573" width="9" style="72"/>
    <col min="13574" max="13574" width="10.5" style="72" customWidth="1"/>
    <col min="13575" max="13578" width="9" style="72"/>
    <col min="13579" max="13579" width="13.875" style="72" bestFit="1" customWidth="1"/>
    <col min="13580" max="13581" width="9" style="72"/>
    <col min="13582" max="13582" width="15.25" style="72" customWidth="1"/>
    <col min="13583" max="13583" width="13.375" style="72" bestFit="1" customWidth="1"/>
    <col min="13584" max="13584" width="15.5" style="72" bestFit="1" customWidth="1"/>
    <col min="13585" max="13586" width="9" style="72"/>
    <col min="13587" max="13588" width="17.125" style="72" bestFit="1" customWidth="1"/>
    <col min="13589" max="13826" width="9" style="72"/>
    <col min="13827" max="13827" width="39.375" style="72" customWidth="1"/>
    <col min="13828" max="13828" width="18.375" style="72" bestFit="1" customWidth="1"/>
    <col min="13829" max="13829" width="9" style="72"/>
    <col min="13830" max="13830" width="10.5" style="72" customWidth="1"/>
    <col min="13831" max="13834" width="9" style="72"/>
    <col min="13835" max="13835" width="13.875" style="72" bestFit="1" customWidth="1"/>
    <col min="13836" max="13837" width="9" style="72"/>
    <col min="13838" max="13838" width="15.25" style="72" customWidth="1"/>
    <col min="13839" max="13839" width="13.375" style="72" bestFit="1" customWidth="1"/>
    <col min="13840" max="13840" width="15.5" style="72" bestFit="1" customWidth="1"/>
    <col min="13841" max="13842" width="9" style="72"/>
    <col min="13843" max="13844" width="17.125" style="72" bestFit="1" customWidth="1"/>
    <col min="13845" max="14082" width="9" style="72"/>
    <col min="14083" max="14083" width="39.375" style="72" customWidth="1"/>
    <col min="14084" max="14084" width="18.375" style="72" bestFit="1" customWidth="1"/>
    <col min="14085" max="14085" width="9" style="72"/>
    <col min="14086" max="14086" width="10.5" style="72" customWidth="1"/>
    <col min="14087" max="14090" width="9" style="72"/>
    <col min="14091" max="14091" width="13.875" style="72" bestFit="1" customWidth="1"/>
    <col min="14092" max="14093" width="9" style="72"/>
    <col min="14094" max="14094" width="15.25" style="72" customWidth="1"/>
    <col min="14095" max="14095" width="13.375" style="72" bestFit="1" customWidth="1"/>
    <col min="14096" max="14096" width="15.5" style="72" bestFit="1" customWidth="1"/>
    <col min="14097" max="14098" width="9" style="72"/>
    <col min="14099" max="14100" width="17.125" style="72" bestFit="1" customWidth="1"/>
    <col min="14101" max="14338" width="9" style="72"/>
    <col min="14339" max="14339" width="39.375" style="72" customWidth="1"/>
    <col min="14340" max="14340" width="18.375" style="72" bestFit="1" customWidth="1"/>
    <col min="14341" max="14341" width="9" style="72"/>
    <col min="14342" max="14342" width="10.5" style="72" customWidth="1"/>
    <col min="14343" max="14346" width="9" style="72"/>
    <col min="14347" max="14347" width="13.875" style="72" bestFit="1" customWidth="1"/>
    <col min="14348" max="14349" width="9" style="72"/>
    <col min="14350" max="14350" width="15.25" style="72" customWidth="1"/>
    <col min="14351" max="14351" width="13.375" style="72" bestFit="1" customWidth="1"/>
    <col min="14352" max="14352" width="15.5" style="72" bestFit="1" customWidth="1"/>
    <col min="14353" max="14354" width="9" style="72"/>
    <col min="14355" max="14356" width="17.125" style="72" bestFit="1" customWidth="1"/>
    <col min="14357" max="14594" width="9" style="72"/>
    <col min="14595" max="14595" width="39.375" style="72" customWidth="1"/>
    <col min="14596" max="14596" width="18.375" style="72" bestFit="1" customWidth="1"/>
    <col min="14597" max="14597" width="9" style="72"/>
    <col min="14598" max="14598" width="10.5" style="72" customWidth="1"/>
    <col min="14599" max="14602" width="9" style="72"/>
    <col min="14603" max="14603" width="13.875" style="72" bestFit="1" customWidth="1"/>
    <col min="14604" max="14605" width="9" style="72"/>
    <col min="14606" max="14606" width="15.25" style="72" customWidth="1"/>
    <col min="14607" max="14607" width="13.375" style="72" bestFit="1" customWidth="1"/>
    <col min="14608" max="14608" width="15.5" style="72" bestFit="1" customWidth="1"/>
    <col min="14609" max="14610" width="9" style="72"/>
    <col min="14611" max="14612" width="17.125" style="72" bestFit="1" customWidth="1"/>
    <col min="14613" max="14850" width="9" style="72"/>
    <col min="14851" max="14851" width="39.375" style="72" customWidth="1"/>
    <col min="14852" max="14852" width="18.375" style="72" bestFit="1" customWidth="1"/>
    <col min="14853" max="14853" width="9" style="72"/>
    <col min="14854" max="14854" width="10.5" style="72" customWidth="1"/>
    <col min="14855" max="14858" width="9" style="72"/>
    <col min="14859" max="14859" width="13.875" style="72" bestFit="1" customWidth="1"/>
    <col min="14860" max="14861" width="9" style="72"/>
    <col min="14862" max="14862" width="15.25" style="72" customWidth="1"/>
    <col min="14863" max="14863" width="13.375" style="72" bestFit="1" customWidth="1"/>
    <col min="14864" max="14864" width="15.5" style="72" bestFit="1" customWidth="1"/>
    <col min="14865" max="14866" width="9" style="72"/>
    <col min="14867" max="14868" width="17.125" style="72" bestFit="1" customWidth="1"/>
    <col min="14869" max="15106" width="9" style="72"/>
    <col min="15107" max="15107" width="39.375" style="72" customWidth="1"/>
    <col min="15108" max="15108" width="18.375" style="72" bestFit="1" customWidth="1"/>
    <col min="15109" max="15109" width="9" style="72"/>
    <col min="15110" max="15110" width="10.5" style="72" customWidth="1"/>
    <col min="15111" max="15114" width="9" style="72"/>
    <col min="15115" max="15115" width="13.875" style="72" bestFit="1" customWidth="1"/>
    <col min="15116" max="15117" width="9" style="72"/>
    <col min="15118" max="15118" width="15.25" style="72" customWidth="1"/>
    <col min="15119" max="15119" width="13.375" style="72" bestFit="1" customWidth="1"/>
    <col min="15120" max="15120" width="15.5" style="72" bestFit="1" customWidth="1"/>
    <col min="15121" max="15122" width="9" style="72"/>
    <col min="15123" max="15124" width="17.125" style="72" bestFit="1" customWidth="1"/>
    <col min="15125" max="15362" width="9" style="72"/>
    <col min="15363" max="15363" width="39.375" style="72" customWidth="1"/>
    <col min="15364" max="15364" width="18.375" style="72" bestFit="1" customWidth="1"/>
    <col min="15365" max="15365" width="9" style="72"/>
    <col min="15366" max="15366" width="10.5" style="72" customWidth="1"/>
    <col min="15367" max="15370" width="9" style="72"/>
    <col min="15371" max="15371" width="13.875" style="72" bestFit="1" customWidth="1"/>
    <col min="15372" max="15373" width="9" style="72"/>
    <col min="15374" max="15374" width="15.25" style="72" customWidth="1"/>
    <col min="15375" max="15375" width="13.375" style="72" bestFit="1" customWidth="1"/>
    <col min="15376" max="15376" width="15.5" style="72" bestFit="1" customWidth="1"/>
    <col min="15377" max="15378" width="9" style="72"/>
    <col min="15379" max="15380" width="17.125" style="72" bestFit="1" customWidth="1"/>
    <col min="15381" max="15618" width="9" style="72"/>
    <col min="15619" max="15619" width="39.375" style="72" customWidth="1"/>
    <col min="15620" max="15620" width="18.375" style="72" bestFit="1" customWidth="1"/>
    <col min="15621" max="15621" width="9" style="72"/>
    <col min="15622" max="15622" width="10.5" style="72" customWidth="1"/>
    <col min="15623" max="15626" width="9" style="72"/>
    <col min="15627" max="15627" width="13.875" style="72" bestFit="1" customWidth="1"/>
    <col min="15628" max="15629" width="9" style="72"/>
    <col min="15630" max="15630" width="15.25" style="72" customWidth="1"/>
    <col min="15631" max="15631" width="13.375" style="72" bestFit="1" customWidth="1"/>
    <col min="15632" max="15632" width="15.5" style="72" bestFit="1" customWidth="1"/>
    <col min="15633" max="15634" width="9" style="72"/>
    <col min="15635" max="15636" width="17.125" style="72" bestFit="1" customWidth="1"/>
    <col min="15637" max="15874" width="9" style="72"/>
    <col min="15875" max="15875" width="39.375" style="72" customWidth="1"/>
    <col min="15876" max="15876" width="18.375" style="72" bestFit="1" customWidth="1"/>
    <col min="15877" max="15877" width="9" style="72"/>
    <col min="15878" max="15878" width="10.5" style="72" customWidth="1"/>
    <col min="15879" max="15882" width="9" style="72"/>
    <col min="15883" max="15883" width="13.875" style="72" bestFit="1" customWidth="1"/>
    <col min="15884" max="15885" width="9" style="72"/>
    <col min="15886" max="15886" width="15.25" style="72" customWidth="1"/>
    <col min="15887" max="15887" width="13.375" style="72" bestFit="1" customWidth="1"/>
    <col min="15888" max="15888" width="15.5" style="72" bestFit="1" customWidth="1"/>
    <col min="15889" max="15890" width="9" style="72"/>
    <col min="15891" max="15892" width="17.125" style="72" bestFit="1" customWidth="1"/>
    <col min="15893" max="16130" width="9" style="72"/>
    <col min="16131" max="16131" width="39.375" style="72" customWidth="1"/>
    <col min="16132" max="16132" width="18.375" style="72" bestFit="1" customWidth="1"/>
    <col min="16133" max="16133" width="9" style="72"/>
    <col min="16134" max="16134" width="10.5" style="72" customWidth="1"/>
    <col min="16135" max="16138" width="9" style="72"/>
    <col min="16139" max="16139" width="13.875" style="72" bestFit="1" customWidth="1"/>
    <col min="16140" max="16141" width="9" style="72"/>
    <col min="16142" max="16142" width="15.25" style="72" customWidth="1"/>
    <col min="16143" max="16143" width="13.375" style="72" bestFit="1" customWidth="1"/>
    <col min="16144" max="16144" width="15.5" style="72" bestFit="1" customWidth="1"/>
    <col min="16145" max="16146" width="9" style="72"/>
    <col min="16147" max="16148" width="17.125" style="72" bestFit="1" customWidth="1"/>
    <col min="16149" max="16384" width="9" style="72"/>
  </cols>
  <sheetData>
    <row r="1" spans="1:15" s="55" customFormat="1" ht="15" customHeight="1" x14ac:dyDescent="0.2">
      <c r="C1" s="185" t="s">
        <v>85</v>
      </c>
      <c r="D1" s="185" t="s">
        <v>7</v>
      </c>
      <c r="E1" s="184" t="s">
        <v>86</v>
      </c>
      <c r="F1" s="184" t="s">
        <v>87</v>
      </c>
      <c r="G1" s="184" t="s">
        <v>88</v>
      </c>
      <c r="H1" s="184"/>
      <c r="I1" s="184" t="s">
        <v>89</v>
      </c>
      <c r="J1" s="184"/>
      <c r="K1" s="184" t="s">
        <v>507</v>
      </c>
      <c r="L1" s="184" t="s">
        <v>90</v>
      </c>
      <c r="M1" s="184" t="s">
        <v>91</v>
      </c>
      <c r="N1" s="55" t="s">
        <v>92</v>
      </c>
      <c r="O1" s="58" t="s">
        <v>435</v>
      </c>
    </row>
    <row r="2" spans="1:15" s="55" customFormat="1" ht="15" customHeight="1" x14ac:dyDescent="0.2">
      <c r="C2" s="185"/>
      <c r="D2" s="185"/>
      <c r="E2" s="184"/>
      <c r="F2" s="184"/>
      <c r="G2" s="59" t="s">
        <v>398</v>
      </c>
      <c r="H2" s="60" t="s">
        <v>93</v>
      </c>
      <c r="I2" s="61" t="s">
        <v>94</v>
      </c>
      <c r="J2" s="60" t="s">
        <v>93</v>
      </c>
      <c r="K2" s="184"/>
      <c r="L2" s="184"/>
      <c r="M2" s="184"/>
      <c r="O2" s="58"/>
    </row>
    <row r="3" spans="1:15" s="55" customFormat="1" ht="15" customHeight="1" x14ac:dyDescent="0.2">
      <c r="B3" s="55" t="s">
        <v>357</v>
      </c>
      <c r="C3" s="56"/>
      <c r="D3" s="56"/>
      <c r="E3" s="57"/>
      <c r="F3" s="57"/>
      <c r="G3" s="59"/>
      <c r="H3" s="60"/>
      <c r="I3" s="61"/>
      <c r="J3" s="60"/>
      <c r="K3" s="57"/>
      <c r="L3" s="57"/>
      <c r="M3" s="57"/>
      <c r="O3" s="58"/>
    </row>
    <row r="4" spans="1:15" s="55" customFormat="1" ht="15" customHeight="1" x14ac:dyDescent="0.2">
      <c r="A4" s="55" t="s">
        <v>356</v>
      </c>
      <c r="C4" s="56"/>
      <c r="D4" s="56"/>
      <c r="E4" s="57"/>
      <c r="F4" s="57"/>
      <c r="G4" s="59"/>
      <c r="H4" s="60"/>
      <c r="I4" s="61"/>
      <c r="J4" s="60"/>
      <c r="K4" s="57"/>
      <c r="L4" s="57"/>
      <c r="M4" s="57"/>
      <c r="O4" s="58"/>
    </row>
    <row r="5" spans="1:15" s="105" customFormat="1" ht="15" customHeight="1" x14ac:dyDescent="0.2">
      <c r="A5" s="98"/>
      <c r="B5" s="98" t="s">
        <v>464</v>
      </c>
      <c r="C5" s="99" t="s">
        <v>366</v>
      </c>
      <c r="D5" s="100" t="s">
        <v>123</v>
      </c>
      <c r="E5" s="101">
        <v>0.7</v>
      </c>
      <c r="F5" s="101" t="s">
        <v>96</v>
      </c>
      <c r="G5" s="102">
        <v>1.8</v>
      </c>
      <c r="H5" s="103">
        <v>0.03</v>
      </c>
      <c r="I5" s="104">
        <v>2.2000000000000002</v>
      </c>
      <c r="J5" s="104">
        <v>0.03</v>
      </c>
      <c r="K5" s="104" t="s">
        <v>503</v>
      </c>
      <c r="L5" s="104" t="s">
        <v>124</v>
      </c>
      <c r="M5" s="104">
        <v>7.3</v>
      </c>
      <c r="O5" s="106">
        <v>4811</v>
      </c>
    </row>
    <row r="6" spans="1:15" s="105" customFormat="1" ht="15" customHeight="1" x14ac:dyDescent="0.2">
      <c r="A6" s="98"/>
      <c r="B6" s="98" t="s">
        <v>464</v>
      </c>
      <c r="C6" s="99" t="s">
        <v>366</v>
      </c>
      <c r="D6" s="100" t="s">
        <v>125</v>
      </c>
      <c r="E6" s="101">
        <v>0.8</v>
      </c>
      <c r="F6" s="101" t="s">
        <v>96</v>
      </c>
      <c r="G6" s="102">
        <v>2.2000000000000002</v>
      </c>
      <c r="H6" s="103">
        <v>0.03</v>
      </c>
      <c r="I6" s="104">
        <v>2.5</v>
      </c>
      <c r="J6" s="104">
        <v>0.03</v>
      </c>
      <c r="K6" s="104" t="s">
        <v>502</v>
      </c>
      <c r="L6" s="104" t="s">
        <v>124</v>
      </c>
      <c r="M6" s="104">
        <v>7.3</v>
      </c>
      <c r="O6" s="106">
        <v>4811</v>
      </c>
    </row>
    <row r="7" spans="1:15" s="105" customFormat="1" ht="15" customHeight="1" x14ac:dyDescent="0.2">
      <c r="A7" s="98"/>
      <c r="B7" s="98" t="s">
        <v>464</v>
      </c>
      <c r="C7" s="99" t="s">
        <v>366</v>
      </c>
      <c r="D7" s="100" t="s">
        <v>126</v>
      </c>
      <c r="E7" s="101">
        <v>0.9</v>
      </c>
      <c r="F7" s="101" t="s">
        <v>96</v>
      </c>
      <c r="G7" s="102">
        <v>2.5</v>
      </c>
      <c r="H7" s="103">
        <v>0.03</v>
      </c>
      <c r="I7" s="104">
        <v>2.8</v>
      </c>
      <c r="J7" s="104">
        <v>0.03</v>
      </c>
      <c r="K7" s="104" t="s">
        <v>502</v>
      </c>
      <c r="L7" s="104" t="s">
        <v>124</v>
      </c>
      <c r="M7" s="104">
        <v>7.3</v>
      </c>
      <c r="O7" s="106">
        <v>4881</v>
      </c>
    </row>
    <row r="8" spans="1:15" s="105" customFormat="1" ht="15" customHeight="1" x14ac:dyDescent="0.2">
      <c r="A8" s="98"/>
      <c r="B8" s="98" t="s">
        <v>464</v>
      </c>
      <c r="C8" s="99" t="s">
        <v>358</v>
      </c>
      <c r="D8" s="100" t="s">
        <v>127</v>
      </c>
      <c r="E8" s="101">
        <v>1</v>
      </c>
      <c r="F8" s="101" t="s">
        <v>96</v>
      </c>
      <c r="G8" s="102">
        <v>2.8</v>
      </c>
      <c r="H8" s="103">
        <v>3.5000000000000003E-2</v>
      </c>
      <c r="I8" s="104">
        <v>3.2</v>
      </c>
      <c r="J8" s="104">
        <v>3.5000000000000003E-2</v>
      </c>
      <c r="K8" s="104" t="s">
        <v>502</v>
      </c>
      <c r="L8" s="104" t="s">
        <v>124</v>
      </c>
      <c r="M8" s="104">
        <v>7.3</v>
      </c>
      <c r="O8" s="106">
        <v>4936</v>
      </c>
    </row>
    <row r="9" spans="1:15" s="105" customFormat="1" ht="15" customHeight="1" x14ac:dyDescent="0.2">
      <c r="A9" s="98"/>
      <c r="B9" s="98" t="s">
        <v>464</v>
      </c>
      <c r="C9" s="99" t="s">
        <v>358</v>
      </c>
      <c r="D9" s="100" t="s">
        <v>128</v>
      </c>
      <c r="E9" s="101">
        <v>1.2</v>
      </c>
      <c r="F9" s="101" t="s">
        <v>96</v>
      </c>
      <c r="G9" s="102">
        <v>3.2</v>
      </c>
      <c r="H9" s="103">
        <v>0.04</v>
      </c>
      <c r="I9" s="104">
        <v>3.6</v>
      </c>
      <c r="J9" s="104">
        <v>0.04</v>
      </c>
      <c r="K9" s="104" t="s">
        <v>502</v>
      </c>
      <c r="L9" s="104" t="s">
        <v>124</v>
      </c>
      <c r="M9" s="104">
        <v>7.3</v>
      </c>
      <c r="O9" s="106">
        <v>5062</v>
      </c>
    </row>
    <row r="10" spans="1:15" s="105" customFormat="1" ht="15" customHeight="1" x14ac:dyDescent="0.2">
      <c r="A10" s="98"/>
      <c r="B10" s="98" t="s">
        <v>464</v>
      </c>
      <c r="C10" s="99" t="s">
        <v>358</v>
      </c>
      <c r="D10" s="100" t="s">
        <v>129</v>
      </c>
      <c r="E10" s="101">
        <v>1.5</v>
      </c>
      <c r="F10" s="101" t="s">
        <v>96</v>
      </c>
      <c r="G10" s="102">
        <v>3.6</v>
      </c>
      <c r="H10" s="103">
        <v>0.04</v>
      </c>
      <c r="I10" s="104">
        <v>4.2</v>
      </c>
      <c r="J10" s="104">
        <v>0.04</v>
      </c>
      <c r="K10" s="104" t="s">
        <v>502</v>
      </c>
      <c r="L10" s="104" t="s">
        <v>124</v>
      </c>
      <c r="M10" s="104">
        <v>7.3</v>
      </c>
      <c r="O10" s="106">
        <v>5062</v>
      </c>
    </row>
    <row r="11" spans="1:15" s="105" customFormat="1" ht="15" customHeight="1" x14ac:dyDescent="0.2">
      <c r="A11" s="98"/>
      <c r="B11" s="98" t="s">
        <v>464</v>
      </c>
      <c r="C11" s="99" t="s">
        <v>358</v>
      </c>
      <c r="D11" s="100" t="s">
        <v>130</v>
      </c>
      <c r="E11" s="101">
        <v>1.6</v>
      </c>
      <c r="F11" s="101" t="s">
        <v>96</v>
      </c>
      <c r="G11" s="102">
        <v>4</v>
      </c>
      <c r="H11" s="103">
        <v>4.4999999999999998E-2</v>
      </c>
      <c r="I11" s="104">
        <v>4.5</v>
      </c>
      <c r="J11" s="104">
        <v>4.4999999999999998E-2</v>
      </c>
      <c r="K11" s="104" t="s">
        <v>504</v>
      </c>
      <c r="L11" s="104" t="s">
        <v>124</v>
      </c>
      <c r="M11" s="104">
        <v>7.3</v>
      </c>
      <c r="O11" s="106">
        <v>5214</v>
      </c>
    </row>
    <row r="12" spans="1:15" s="105" customFormat="1" ht="15" customHeight="1" x14ac:dyDescent="0.2">
      <c r="A12" s="98"/>
      <c r="B12" s="98" t="s">
        <v>464</v>
      </c>
      <c r="C12" s="99" t="s">
        <v>358</v>
      </c>
      <c r="D12" s="100" t="s">
        <v>131</v>
      </c>
      <c r="E12" s="101">
        <v>1.8</v>
      </c>
      <c r="F12" s="101" t="s">
        <v>96</v>
      </c>
      <c r="G12" s="102">
        <v>4.5</v>
      </c>
      <c r="H12" s="103">
        <v>0.05</v>
      </c>
      <c r="I12" s="104">
        <v>5</v>
      </c>
      <c r="J12" s="104">
        <v>0.05</v>
      </c>
      <c r="K12" s="104" t="s">
        <v>504</v>
      </c>
      <c r="L12" s="104" t="s">
        <v>124</v>
      </c>
      <c r="M12" s="104">
        <v>7.3</v>
      </c>
      <c r="O12" s="106">
        <v>5366</v>
      </c>
    </row>
    <row r="13" spans="1:15" s="105" customFormat="1" ht="15" customHeight="1" x14ac:dyDescent="0.2">
      <c r="A13" s="98"/>
      <c r="B13" s="98" t="s">
        <v>464</v>
      </c>
      <c r="C13" s="99" t="s">
        <v>358</v>
      </c>
      <c r="D13" s="100" t="s">
        <v>132</v>
      </c>
      <c r="E13" s="101">
        <v>1.9</v>
      </c>
      <c r="F13" s="101" t="s">
        <v>96</v>
      </c>
      <c r="G13" s="102">
        <v>5</v>
      </c>
      <c r="H13" s="103">
        <v>5.5E-2</v>
      </c>
      <c r="I13" s="104">
        <v>5.6</v>
      </c>
      <c r="J13" s="104">
        <v>5.5E-2</v>
      </c>
      <c r="K13" s="104" t="s">
        <v>504</v>
      </c>
      <c r="L13" s="104" t="s">
        <v>124</v>
      </c>
      <c r="M13" s="104">
        <v>7.3</v>
      </c>
      <c r="O13" s="106">
        <v>5395</v>
      </c>
    </row>
    <row r="14" spans="1:15" s="105" customFormat="1" ht="15" customHeight="1" x14ac:dyDescent="0.2">
      <c r="A14" s="98"/>
      <c r="B14" s="98" t="s">
        <v>464</v>
      </c>
      <c r="C14" s="99" t="s">
        <v>358</v>
      </c>
      <c r="D14" s="100" t="s">
        <v>133</v>
      </c>
      <c r="E14" s="101">
        <v>2</v>
      </c>
      <c r="F14" s="101" t="s">
        <v>96</v>
      </c>
      <c r="G14" s="102">
        <v>5.6</v>
      </c>
      <c r="H14" s="103">
        <v>5.5E-2</v>
      </c>
      <c r="I14" s="104">
        <v>6.3</v>
      </c>
      <c r="J14" s="104">
        <v>5.5E-2</v>
      </c>
      <c r="K14" s="104" t="s">
        <v>504</v>
      </c>
      <c r="L14" s="104" t="s">
        <v>124</v>
      </c>
      <c r="M14" s="104">
        <v>7.3</v>
      </c>
      <c r="O14" s="106">
        <v>5478</v>
      </c>
    </row>
    <row r="15" spans="1:15" s="105" customFormat="1" ht="15" customHeight="1" x14ac:dyDescent="0.2">
      <c r="A15" s="98"/>
      <c r="B15" s="98" t="s">
        <v>464</v>
      </c>
      <c r="C15" s="99" t="s">
        <v>358</v>
      </c>
      <c r="D15" s="100" t="s">
        <v>134</v>
      </c>
      <c r="E15" s="101">
        <v>2.5</v>
      </c>
      <c r="F15" s="101" t="s">
        <v>96</v>
      </c>
      <c r="G15" s="102">
        <v>6.3</v>
      </c>
      <c r="H15" s="103">
        <v>6.5000000000000002E-2</v>
      </c>
      <c r="I15" s="104">
        <v>7.1</v>
      </c>
      <c r="J15" s="104">
        <v>6.5000000000000002E-2</v>
      </c>
      <c r="K15" s="104" t="s">
        <v>505</v>
      </c>
      <c r="L15" s="104" t="s">
        <v>124</v>
      </c>
      <c r="M15" s="104">
        <v>7.3</v>
      </c>
      <c r="O15" s="106">
        <v>6171</v>
      </c>
    </row>
    <row r="16" spans="1:15" s="105" customFormat="1" ht="15" customHeight="1" x14ac:dyDescent="0.2">
      <c r="A16" s="98"/>
      <c r="B16" s="98" t="s">
        <v>464</v>
      </c>
      <c r="C16" s="99" t="s">
        <v>358</v>
      </c>
      <c r="D16" s="100" t="s">
        <v>135</v>
      </c>
      <c r="E16" s="101">
        <v>3</v>
      </c>
      <c r="F16" s="101" t="s">
        <v>96</v>
      </c>
      <c r="G16" s="102">
        <v>7.3</v>
      </c>
      <c r="H16" s="103">
        <v>6.5000000000000002E-2</v>
      </c>
      <c r="I16" s="104">
        <v>8</v>
      </c>
      <c r="J16" s="104">
        <v>6.5000000000000002E-2</v>
      </c>
      <c r="K16" s="104" t="s">
        <v>505</v>
      </c>
      <c r="L16" s="104" t="s">
        <v>124</v>
      </c>
      <c r="M16" s="104">
        <v>7.3</v>
      </c>
      <c r="O16" s="106">
        <v>6878</v>
      </c>
    </row>
    <row r="17" spans="1:15" s="105" customFormat="1" ht="15" customHeight="1" x14ac:dyDescent="0.2">
      <c r="A17" s="98"/>
      <c r="B17" s="98" t="s">
        <v>464</v>
      </c>
      <c r="C17" s="99" t="s">
        <v>359</v>
      </c>
      <c r="D17" s="100" t="s">
        <v>95</v>
      </c>
      <c r="E17" s="101">
        <v>0.7</v>
      </c>
      <c r="F17" s="101" t="s">
        <v>96</v>
      </c>
      <c r="G17" s="102">
        <v>1.8</v>
      </c>
      <c r="H17" s="103">
        <v>0.03</v>
      </c>
      <c r="I17" s="104">
        <v>2.2000000000000002</v>
      </c>
      <c r="J17" s="104">
        <v>0.03</v>
      </c>
      <c r="K17" s="104" t="s">
        <v>502</v>
      </c>
      <c r="L17" s="104" t="s">
        <v>97</v>
      </c>
      <c r="M17" s="104">
        <v>11.2</v>
      </c>
      <c r="O17" s="106">
        <v>5270</v>
      </c>
    </row>
    <row r="18" spans="1:15" s="105" customFormat="1" ht="15" customHeight="1" x14ac:dyDescent="0.2">
      <c r="A18" s="98"/>
      <c r="B18" s="98" t="s">
        <v>464</v>
      </c>
      <c r="C18" s="99" t="s">
        <v>359</v>
      </c>
      <c r="D18" s="100" t="s">
        <v>98</v>
      </c>
      <c r="E18" s="101">
        <v>0.8</v>
      </c>
      <c r="F18" s="101" t="s">
        <v>96</v>
      </c>
      <c r="G18" s="102">
        <v>2.2000000000000002</v>
      </c>
      <c r="H18" s="103">
        <v>0.03</v>
      </c>
      <c r="I18" s="104">
        <v>2.5</v>
      </c>
      <c r="J18" s="104">
        <v>0.03</v>
      </c>
      <c r="K18" s="104" t="s">
        <v>502</v>
      </c>
      <c r="L18" s="104" t="s">
        <v>97</v>
      </c>
      <c r="M18" s="104">
        <v>11.2</v>
      </c>
      <c r="O18" s="106">
        <v>5270</v>
      </c>
    </row>
    <row r="19" spans="1:15" s="105" customFormat="1" ht="15" customHeight="1" x14ac:dyDescent="0.2">
      <c r="A19" s="98"/>
      <c r="B19" s="98" t="s">
        <v>464</v>
      </c>
      <c r="C19" s="99" t="s">
        <v>359</v>
      </c>
      <c r="D19" s="100" t="s">
        <v>99</v>
      </c>
      <c r="E19" s="101">
        <v>0.9</v>
      </c>
      <c r="F19" s="101" t="s">
        <v>96</v>
      </c>
      <c r="G19" s="102">
        <v>2.5</v>
      </c>
      <c r="H19" s="103">
        <v>0.03</v>
      </c>
      <c r="I19" s="104">
        <v>2.8</v>
      </c>
      <c r="J19" s="104">
        <v>0.03</v>
      </c>
      <c r="K19" s="104" t="s">
        <v>502</v>
      </c>
      <c r="L19" s="104" t="s">
        <v>97</v>
      </c>
      <c r="M19" s="104">
        <v>11.2</v>
      </c>
      <c r="O19" s="106">
        <v>5339</v>
      </c>
    </row>
    <row r="20" spans="1:15" s="105" customFormat="1" ht="15" customHeight="1" x14ac:dyDescent="0.2">
      <c r="A20" s="98"/>
      <c r="B20" s="98" t="s">
        <v>464</v>
      </c>
      <c r="C20" s="99" t="s">
        <v>359</v>
      </c>
      <c r="D20" s="100" t="s">
        <v>100</v>
      </c>
      <c r="E20" s="101">
        <v>1</v>
      </c>
      <c r="F20" s="101" t="s">
        <v>96</v>
      </c>
      <c r="G20" s="102">
        <v>2.8</v>
      </c>
      <c r="H20" s="103">
        <v>3.5000000000000003E-2</v>
      </c>
      <c r="I20" s="104">
        <v>3.2</v>
      </c>
      <c r="J20" s="104">
        <v>3.5000000000000003E-2</v>
      </c>
      <c r="K20" s="104" t="s">
        <v>502</v>
      </c>
      <c r="L20" s="104" t="s">
        <v>97</v>
      </c>
      <c r="M20" s="104">
        <v>11.2</v>
      </c>
      <c r="O20" s="106">
        <v>5395</v>
      </c>
    </row>
    <row r="21" spans="1:15" s="105" customFormat="1" ht="15" customHeight="1" x14ac:dyDescent="0.2">
      <c r="A21" s="98"/>
      <c r="B21" s="98" t="s">
        <v>464</v>
      </c>
      <c r="C21" s="99" t="s">
        <v>359</v>
      </c>
      <c r="D21" s="100" t="s">
        <v>101</v>
      </c>
      <c r="E21" s="101">
        <v>1.2</v>
      </c>
      <c r="F21" s="101" t="s">
        <v>96</v>
      </c>
      <c r="G21" s="102">
        <v>3.2</v>
      </c>
      <c r="H21" s="103">
        <v>0.04</v>
      </c>
      <c r="I21" s="104">
        <v>3.6</v>
      </c>
      <c r="J21" s="104">
        <v>0.04</v>
      </c>
      <c r="K21" s="104" t="s">
        <v>502</v>
      </c>
      <c r="L21" s="104" t="s">
        <v>97</v>
      </c>
      <c r="M21" s="104">
        <v>11.2</v>
      </c>
      <c r="O21" s="106">
        <v>5520</v>
      </c>
    </row>
    <row r="22" spans="1:15" s="105" customFormat="1" ht="15" customHeight="1" x14ac:dyDescent="0.2">
      <c r="A22" s="98"/>
      <c r="B22" s="98" t="s">
        <v>464</v>
      </c>
      <c r="C22" s="107" t="s">
        <v>359</v>
      </c>
      <c r="D22" s="100" t="s">
        <v>102</v>
      </c>
      <c r="E22" s="101">
        <v>1.5</v>
      </c>
      <c r="F22" s="101" t="s">
        <v>96</v>
      </c>
      <c r="G22" s="102">
        <v>3.6</v>
      </c>
      <c r="H22" s="103">
        <v>0.04</v>
      </c>
      <c r="I22" s="104">
        <v>4.2</v>
      </c>
      <c r="J22" s="104">
        <v>0.04</v>
      </c>
      <c r="K22" s="104" t="s">
        <v>502</v>
      </c>
      <c r="L22" s="104" t="s">
        <v>97</v>
      </c>
      <c r="M22" s="104">
        <v>11.2</v>
      </c>
      <c r="O22" s="106">
        <v>5520</v>
      </c>
    </row>
    <row r="23" spans="1:15" s="105" customFormat="1" ht="15" customHeight="1" x14ac:dyDescent="0.2">
      <c r="A23" s="98"/>
      <c r="B23" s="98" t="s">
        <v>464</v>
      </c>
      <c r="C23" s="107" t="s">
        <v>359</v>
      </c>
      <c r="D23" s="100" t="s">
        <v>103</v>
      </c>
      <c r="E23" s="101">
        <v>1.6</v>
      </c>
      <c r="F23" s="101" t="s">
        <v>96</v>
      </c>
      <c r="G23" s="102">
        <v>4</v>
      </c>
      <c r="H23" s="103">
        <v>4.4999999999999998E-2</v>
      </c>
      <c r="I23" s="104">
        <v>4.5</v>
      </c>
      <c r="J23" s="104">
        <v>4.4999999999999998E-2</v>
      </c>
      <c r="K23" s="104" t="s">
        <v>504</v>
      </c>
      <c r="L23" s="104" t="s">
        <v>97</v>
      </c>
      <c r="M23" s="104">
        <v>11.2</v>
      </c>
      <c r="O23" s="106">
        <v>5672</v>
      </c>
    </row>
    <row r="24" spans="1:15" s="105" customFormat="1" ht="15" customHeight="1" x14ac:dyDescent="0.2">
      <c r="A24" s="98"/>
      <c r="B24" s="98" t="s">
        <v>464</v>
      </c>
      <c r="C24" s="107" t="s">
        <v>359</v>
      </c>
      <c r="D24" s="100" t="s">
        <v>104</v>
      </c>
      <c r="E24" s="101">
        <v>1.8</v>
      </c>
      <c r="F24" s="101" t="s">
        <v>96</v>
      </c>
      <c r="G24" s="102">
        <v>4.5</v>
      </c>
      <c r="H24" s="103">
        <v>0.05</v>
      </c>
      <c r="I24" s="104">
        <v>5</v>
      </c>
      <c r="J24" s="104">
        <v>0.05</v>
      </c>
      <c r="K24" s="104" t="s">
        <v>504</v>
      </c>
      <c r="L24" s="104" t="s">
        <v>97</v>
      </c>
      <c r="M24" s="104">
        <v>11.2</v>
      </c>
      <c r="O24" s="106">
        <v>5824</v>
      </c>
    </row>
    <row r="25" spans="1:15" s="105" customFormat="1" ht="15" customHeight="1" x14ac:dyDescent="0.2">
      <c r="A25" s="98"/>
      <c r="B25" s="98" t="s">
        <v>464</v>
      </c>
      <c r="C25" s="107" t="s">
        <v>359</v>
      </c>
      <c r="D25" s="100" t="s">
        <v>105</v>
      </c>
      <c r="E25" s="101">
        <v>1.9</v>
      </c>
      <c r="F25" s="101" t="s">
        <v>96</v>
      </c>
      <c r="G25" s="102">
        <v>5</v>
      </c>
      <c r="H25" s="103">
        <v>5.5E-2</v>
      </c>
      <c r="I25" s="104">
        <v>5.6</v>
      </c>
      <c r="J25" s="104">
        <v>5.5E-2</v>
      </c>
      <c r="K25" s="104" t="s">
        <v>504</v>
      </c>
      <c r="L25" s="104" t="s">
        <v>97</v>
      </c>
      <c r="M25" s="104">
        <v>11.2</v>
      </c>
      <c r="O25" s="106">
        <v>5851</v>
      </c>
    </row>
    <row r="26" spans="1:15" s="105" customFormat="1" ht="15" customHeight="1" x14ac:dyDescent="0.2">
      <c r="A26" s="98"/>
      <c r="B26" s="98" t="s">
        <v>464</v>
      </c>
      <c r="C26" s="107" t="s">
        <v>359</v>
      </c>
      <c r="D26" s="100" t="s">
        <v>106</v>
      </c>
      <c r="E26" s="101">
        <v>2</v>
      </c>
      <c r="F26" s="101" t="s">
        <v>96</v>
      </c>
      <c r="G26" s="102">
        <v>5.6</v>
      </c>
      <c r="H26" s="103">
        <v>5.5E-2</v>
      </c>
      <c r="I26" s="104">
        <v>6.3</v>
      </c>
      <c r="J26" s="104">
        <v>5.5E-2</v>
      </c>
      <c r="K26" s="104" t="s">
        <v>504</v>
      </c>
      <c r="L26" s="104" t="s">
        <v>97</v>
      </c>
      <c r="M26" s="104">
        <v>11.2</v>
      </c>
      <c r="O26" s="106">
        <v>5977</v>
      </c>
    </row>
    <row r="27" spans="1:15" s="105" customFormat="1" ht="15" customHeight="1" x14ac:dyDescent="0.2">
      <c r="A27" s="98"/>
      <c r="B27" s="98" t="s">
        <v>464</v>
      </c>
      <c r="C27" s="107" t="s">
        <v>359</v>
      </c>
      <c r="D27" s="100" t="s">
        <v>107</v>
      </c>
      <c r="E27" s="101">
        <v>2.5</v>
      </c>
      <c r="F27" s="101" t="s">
        <v>96</v>
      </c>
      <c r="G27" s="102">
        <v>6.3</v>
      </c>
      <c r="H27" s="103">
        <v>6.5000000000000002E-2</v>
      </c>
      <c r="I27" s="104">
        <v>7.1</v>
      </c>
      <c r="J27" s="104">
        <v>6.5000000000000002E-2</v>
      </c>
      <c r="K27" s="104" t="s">
        <v>505</v>
      </c>
      <c r="L27" s="104" t="s">
        <v>97</v>
      </c>
      <c r="M27" s="104">
        <v>11.2</v>
      </c>
      <c r="O27" s="106">
        <v>6726</v>
      </c>
    </row>
    <row r="28" spans="1:15" s="105" customFormat="1" ht="15" customHeight="1" x14ac:dyDescent="0.2">
      <c r="A28" s="98"/>
      <c r="B28" s="98" t="s">
        <v>464</v>
      </c>
      <c r="C28" s="107" t="s">
        <v>359</v>
      </c>
      <c r="D28" s="100" t="s">
        <v>108</v>
      </c>
      <c r="E28" s="101">
        <v>3</v>
      </c>
      <c r="F28" s="101" t="s">
        <v>96</v>
      </c>
      <c r="G28" s="102">
        <v>7.3</v>
      </c>
      <c r="H28" s="103">
        <v>6.5000000000000002E-2</v>
      </c>
      <c r="I28" s="104">
        <v>8</v>
      </c>
      <c r="J28" s="104">
        <v>6.5000000000000002E-2</v>
      </c>
      <c r="K28" s="104" t="s">
        <v>505</v>
      </c>
      <c r="L28" s="104" t="s">
        <v>97</v>
      </c>
      <c r="M28" s="104">
        <v>11.2</v>
      </c>
      <c r="O28" s="106">
        <v>7502</v>
      </c>
    </row>
    <row r="29" spans="1:15" s="105" customFormat="1" ht="15" customHeight="1" x14ac:dyDescent="0.2">
      <c r="A29" s="98"/>
      <c r="B29" s="98" t="s">
        <v>464</v>
      </c>
      <c r="C29" s="107" t="s">
        <v>359</v>
      </c>
      <c r="D29" s="100" t="s">
        <v>109</v>
      </c>
      <c r="E29" s="108">
        <v>3.2</v>
      </c>
      <c r="F29" s="101" t="s">
        <v>96</v>
      </c>
      <c r="G29" s="109">
        <v>8</v>
      </c>
      <c r="H29" s="103">
        <v>8.5000000000000006E-2</v>
      </c>
      <c r="I29" s="110">
        <v>9</v>
      </c>
      <c r="J29" s="104">
        <v>8.5000000000000006E-2</v>
      </c>
      <c r="K29" s="104" t="s">
        <v>506</v>
      </c>
      <c r="L29" s="104" t="s">
        <v>97</v>
      </c>
      <c r="M29" s="104">
        <v>11.2</v>
      </c>
      <c r="O29" s="106">
        <v>8278</v>
      </c>
    </row>
    <row r="30" spans="1:15" s="105" customFormat="1" ht="15" customHeight="1" x14ac:dyDescent="0.2">
      <c r="A30" s="98"/>
      <c r="B30" s="98" t="s">
        <v>464</v>
      </c>
      <c r="C30" s="107" t="s">
        <v>359</v>
      </c>
      <c r="D30" s="100" t="s">
        <v>110</v>
      </c>
      <c r="E30" s="108">
        <v>3.5</v>
      </c>
      <c r="F30" s="101" t="s">
        <v>96</v>
      </c>
      <c r="G30" s="109">
        <v>9</v>
      </c>
      <c r="H30" s="103">
        <v>8.5000000000000006E-2</v>
      </c>
      <c r="I30" s="110">
        <v>10.5</v>
      </c>
      <c r="J30" s="104">
        <v>8.5000000000000006E-2</v>
      </c>
      <c r="K30" s="104" t="s">
        <v>506</v>
      </c>
      <c r="L30" s="104" t="s">
        <v>97</v>
      </c>
      <c r="M30" s="104">
        <v>11.2</v>
      </c>
      <c r="O30" s="106">
        <v>8278</v>
      </c>
    </row>
    <row r="31" spans="1:15" s="105" customFormat="1" ht="15" customHeight="1" x14ac:dyDescent="0.2">
      <c r="A31" s="98"/>
      <c r="B31" s="98" t="s">
        <v>464</v>
      </c>
      <c r="C31" s="107" t="s">
        <v>359</v>
      </c>
      <c r="D31" s="100" t="s">
        <v>111</v>
      </c>
      <c r="E31" s="108">
        <v>3.7</v>
      </c>
      <c r="F31" s="101" t="s">
        <v>96</v>
      </c>
      <c r="G31" s="109">
        <v>10</v>
      </c>
      <c r="H31" s="103">
        <v>0.13</v>
      </c>
      <c r="I31" s="110">
        <v>11.2</v>
      </c>
      <c r="J31" s="104">
        <v>0.13</v>
      </c>
      <c r="K31" s="104" t="s">
        <v>506</v>
      </c>
      <c r="L31" s="104" t="s">
        <v>97</v>
      </c>
      <c r="M31" s="104">
        <v>11.2</v>
      </c>
      <c r="O31" s="106">
        <v>8862</v>
      </c>
    </row>
    <row r="32" spans="1:15" s="105" customFormat="1" ht="15" customHeight="1" x14ac:dyDescent="0.2">
      <c r="A32" s="98"/>
      <c r="B32" s="98" t="s">
        <v>464</v>
      </c>
      <c r="C32" s="107" t="s">
        <v>359</v>
      </c>
      <c r="D32" s="100" t="s">
        <v>112</v>
      </c>
      <c r="E32" s="108">
        <v>4</v>
      </c>
      <c r="F32" s="101" t="s">
        <v>96</v>
      </c>
      <c r="G32" s="109">
        <v>11.2</v>
      </c>
      <c r="H32" s="103">
        <v>0.13</v>
      </c>
      <c r="I32" s="110">
        <v>12.5</v>
      </c>
      <c r="J32" s="104">
        <v>0.13</v>
      </c>
      <c r="K32" s="104" t="s">
        <v>506</v>
      </c>
      <c r="L32" s="104" t="s">
        <v>97</v>
      </c>
      <c r="M32" s="104">
        <v>11.2</v>
      </c>
      <c r="O32" s="106">
        <v>8862</v>
      </c>
    </row>
    <row r="33" spans="1:15" s="105" customFormat="1" ht="15" customHeight="1" x14ac:dyDescent="0.2">
      <c r="A33" s="98"/>
      <c r="B33" s="98" t="s">
        <v>464</v>
      </c>
      <c r="C33" s="107" t="s">
        <v>360</v>
      </c>
      <c r="D33" s="100" t="s">
        <v>113</v>
      </c>
      <c r="E33" s="101">
        <v>0.8</v>
      </c>
      <c r="F33" s="101" t="s">
        <v>96</v>
      </c>
      <c r="G33" s="102">
        <v>2.2000000000000002</v>
      </c>
      <c r="H33" s="103">
        <v>0.03</v>
      </c>
      <c r="I33" s="104">
        <v>2.5</v>
      </c>
      <c r="J33" s="104">
        <v>0.03</v>
      </c>
      <c r="K33" s="104" t="s">
        <v>502</v>
      </c>
      <c r="L33" s="104" t="s">
        <v>97</v>
      </c>
      <c r="M33" s="104">
        <v>11.2</v>
      </c>
      <c r="O33" s="106">
        <v>6088</v>
      </c>
    </row>
    <row r="34" spans="1:15" s="105" customFormat="1" ht="15" customHeight="1" x14ac:dyDescent="0.2">
      <c r="A34" s="98"/>
      <c r="B34" s="98" t="s">
        <v>464</v>
      </c>
      <c r="C34" s="107" t="s">
        <v>360</v>
      </c>
      <c r="D34" s="100" t="s">
        <v>114</v>
      </c>
      <c r="E34" s="101">
        <v>0.9</v>
      </c>
      <c r="F34" s="101" t="s">
        <v>96</v>
      </c>
      <c r="G34" s="102">
        <v>2.5</v>
      </c>
      <c r="H34" s="103">
        <v>0.03</v>
      </c>
      <c r="I34" s="104">
        <v>2.8</v>
      </c>
      <c r="J34" s="104">
        <v>0.03</v>
      </c>
      <c r="K34" s="104" t="s">
        <v>502</v>
      </c>
      <c r="L34" s="104" t="s">
        <v>97</v>
      </c>
      <c r="M34" s="104">
        <v>11.2</v>
      </c>
      <c r="O34" s="106">
        <v>6144</v>
      </c>
    </row>
    <row r="35" spans="1:15" s="105" customFormat="1" ht="15" customHeight="1" x14ac:dyDescent="0.2">
      <c r="A35" s="98"/>
      <c r="B35" s="98" t="s">
        <v>464</v>
      </c>
      <c r="C35" s="107" t="s">
        <v>360</v>
      </c>
      <c r="D35" s="100" t="s">
        <v>115</v>
      </c>
      <c r="E35" s="101">
        <v>1</v>
      </c>
      <c r="F35" s="101" t="s">
        <v>96</v>
      </c>
      <c r="G35" s="102">
        <v>2.8</v>
      </c>
      <c r="H35" s="103">
        <v>3.5000000000000003E-2</v>
      </c>
      <c r="I35" s="104">
        <v>3.2</v>
      </c>
      <c r="J35" s="104">
        <v>3.5000000000000003E-2</v>
      </c>
      <c r="K35" s="104" t="s">
        <v>502</v>
      </c>
      <c r="L35" s="104" t="s">
        <v>97</v>
      </c>
      <c r="M35" s="104">
        <v>11.2</v>
      </c>
      <c r="O35" s="106">
        <v>6227</v>
      </c>
    </row>
    <row r="36" spans="1:15" s="105" customFormat="1" ht="15" customHeight="1" x14ac:dyDescent="0.2">
      <c r="A36" s="98"/>
      <c r="B36" s="98" t="s">
        <v>464</v>
      </c>
      <c r="C36" s="107" t="s">
        <v>360</v>
      </c>
      <c r="D36" s="100" t="s">
        <v>116</v>
      </c>
      <c r="E36" s="101">
        <v>1.2</v>
      </c>
      <c r="F36" s="101" t="s">
        <v>96</v>
      </c>
      <c r="G36" s="102">
        <v>3.2</v>
      </c>
      <c r="H36" s="103">
        <v>0.04</v>
      </c>
      <c r="I36" s="104">
        <v>3.6</v>
      </c>
      <c r="J36" s="104">
        <v>0.04</v>
      </c>
      <c r="K36" s="104" t="s">
        <v>502</v>
      </c>
      <c r="L36" s="104" t="s">
        <v>402</v>
      </c>
      <c r="M36" s="104">
        <v>11.2</v>
      </c>
      <c r="O36" s="106">
        <v>6283</v>
      </c>
    </row>
    <row r="37" spans="1:15" s="105" customFormat="1" ht="15" customHeight="1" x14ac:dyDescent="0.2">
      <c r="A37" s="98"/>
      <c r="B37" s="98" t="s">
        <v>464</v>
      </c>
      <c r="C37" s="107" t="s">
        <v>360</v>
      </c>
      <c r="D37" s="100" t="s">
        <v>117</v>
      </c>
      <c r="E37" s="101">
        <v>1.5</v>
      </c>
      <c r="F37" s="101" t="s">
        <v>96</v>
      </c>
      <c r="G37" s="102">
        <v>3.6</v>
      </c>
      <c r="H37" s="103">
        <v>0.04</v>
      </c>
      <c r="I37" s="104">
        <v>4.2</v>
      </c>
      <c r="J37" s="104">
        <v>0.04</v>
      </c>
      <c r="K37" s="104" t="s">
        <v>502</v>
      </c>
      <c r="L37" s="104" t="s">
        <v>402</v>
      </c>
      <c r="M37" s="104">
        <v>11.2</v>
      </c>
      <c r="O37" s="106">
        <v>6337</v>
      </c>
    </row>
    <row r="38" spans="1:15" s="105" customFormat="1" ht="15" customHeight="1" x14ac:dyDescent="0.2">
      <c r="A38" s="98"/>
      <c r="B38" s="98" t="s">
        <v>464</v>
      </c>
      <c r="C38" s="107" t="s">
        <v>360</v>
      </c>
      <c r="D38" s="100" t="s">
        <v>118</v>
      </c>
      <c r="E38" s="101">
        <v>3</v>
      </c>
      <c r="F38" s="101" t="s">
        <v>96</v>
      </c>
      <c r="G38" s="102">
        <v>7.3</v>
      </c>
      <c r="H38" s="103">
        <v>6.5000000000000002E-2</v>
      </c>
      <c r="I38" s="104">
        <v>8</v>
      </c>
      <c r="J38" s="104">
        <v>6.5000000000000002E-2</v>
      </c>
      <c r="K38" s="104" t="s">
        <v>505</v>
      </c>
      <c r="L38" s="104" t="s">
        <v>402</v>
      </c>
      <c r="M38" s="104">
        <v>11.2</v>
      </c>
      <c r="O38" s="106">
        <v>8139</v>
      </c>
    </row>
    <row r="39" spans="1:15" s="105" customFormat="1" ht="15" customHeight="1" x14ac:dyDescent="0.2">
      <c r="A39" s="98"/>
      <c r="B39" s="98" t="s">
        <v>464</v>
      </c>
      <c r="C39" s="107" t="s">
        <v>360</v>
      </c>
      <c r="D39" s="100" t="s">
        <v>119</v>
      </c>
      <c r="E39" s="108">
        <v>3.2</v>
      </c>
      <c r="F39" s="101" t="s">
        <v>96</v>
      </c>
      <c r="G39" s="109">
        <v>8</v>
      </c>
      <c r="H39" s="103">
        <v>8.5000000000000006E-2</v>
      </c>
      <c r="I39" s="110">
        <v>9</v>
      </c>
      <c r="J39" s="104">
        <v>8.5000000000000006E-2</v>
      </c>
      <c r="K39" s="104" t="s">
        <v>506</v>
      </c>
      <c r="L39" s="104" t="s">
        <v>402</v>
      </c>
      <c r="M39" s="104">
        <v>11.2</v>
      </c>
      <c r="O39" s="106">
        <v>8958</v>
      </c>
    </row>
    <row r="40" spans="1:15" s="105" customFormat="1" ht="15" customHeight="1" x14ac:dyDescent="0.2">
      <c r="A40" s="98"/>
      <c r="B40" s="98" t="s">
        <v>464</v>
      </c>
      <c r="C40" s="107" t="s">
        <v>360</v>
      </c>
      <c r="D40" s="100" t="s">
        <v>120</v>
      </c>
      <c r="E40" s="108">
        <v>3.5</v>
      </c>
      <c r="F40" s="101" t="s">
        <v>96</v>
      </c>
      <c r="G40" s="109">
        <v>9</v>
      </c>
      <c r="H40" s="103">
        <v>8.5000000000000006E-2</v>
      </c>
      <c r="I40" s="110">
        <v>10.5</v>
      </c>
      <c r="J40" s="104">
        <v>8.5000000000000006E-2</v>
      </c>
      <c r="K40" s="104" t="s">
        <v>506</v>
      </c>
      <c r="L40" s="104" t="s">
        <v>402</v>
      </c>
      <c r="M40" s="104">
        <v>11.2</v>
      </c>
      <c r="O40" s="106">
        <v>8958</v>
      </c>
    </row>
    <row r="41" spans="1:15" s="105" customFormat="1" ht="15" customHeight="1" x14ac:dyDescent="0.2">
      <c r="A41" s="98"/>
      <c r="B41" s="98" t="s">
        <v>464</v>
      </c>
      <c r="C41" s="107" t="s">
        <v>360</v>
      </c>
      <c r="D41" s="100" t="s">
        <v>121</v>
      </c>
      <c r="E41" s="108">
        <v>3.7</v>
      </c>
      <c r="F41" s="101" t="s">
        <v>96</v>
      </c>
      <c r="G41" s="109">
        <v>10</v>
      </c>
      <c r="H41" s="103">
        <v>0.13</v>
      </c>
      <c r="I41" s="110">
        <v>11.2</v>
      </c>
      <c r="J41" s="104">
        <v>0.13</v>
      </c>
      <c r="K41" s="104" t="s">
        <v>506</v>
      </c>
      <c r="L41" s="104" t="s">
        <v>402</v>
      </c>
      <c r="M41" s="104">
        <v>11.2</v>
      </c>
      <c r="O41" s="106">
        <v>9555</v>
      </c>
    </row>
    <row r="42" spans="1:15" s="105" customFormat="1" ht="15" customHeight="1" x14ac:dyDescent="0.2">
      <c r="A42" s="98"/>
      <c r="B42" s="98" t="s">
        <v>464</v>
      </c>
      <c r="C42" s="107" t="s">
        <v>360</v>
      </c>
      <c r="D42" s="100" t="s">
        <v>122</v>
      </c>
      <c r="E42" s="108">
        <v>4</v>
      </c>
      <c r="F42" s="101" t="s">
        <v>96</v>
      </c>
      <c r="G42" s="109">
        <v>11.2</v>
      </c>
      <c r="H42" s="103">
        <v>0.13</v>
      </c>
      <c r="I42" s="110">
        <v>12.5</v>
      </c>
      <c r="J42" s="104">
        <v>0.13</v>
      </c>
      <c r="K42" s="104" t="s">
        <v>506</v>
      </c>
      <c r="L42" s="104" t="s">
        <v>402</v>
      </c>
      <c r="M42" s="104">
        <v>11.2</v>
      </c>
      <c r="O42" s="106">
        <v>9555</v>
      </c>
    </row>
    <row r="43" spans="1:15" s="105" customFormat="1" ht="15" customHeight="1" x14ac:dyDescent="0.2">
      <c r="A43" s="98"/>
      <c r="B43" s="98" t="s">
        <v>464</v>
      </c>
      <c r="C43" s="107" t="s">
        <v>361</v>
      </c>
      <c r="D43" s="100" t="s">
        <v>136</v>
      </c>
      <c r="E43" s="101">
        <v>0.7</v>
      </c>
      <c r="F43" s="101" t="s">
        <v>96</v>
      </c>
      <c r="G43" s="102">
        <v>1.8</v>
      </c>
      <c r="H43" s="103">
        <v>0.03</v>
      </c>
      <c r="I43" s="104">
        <v>2.2000000000000002</v>
      </c>
      <c r="J43" s="104">
        <v>0.03</v>
      </c>
      <c r="K43" s="104" t="s">
        <v>502</v>
      </c>
      <c r="L43" s="104" t="s">
        <v>401</v>
      </c>
      <c r="M43" s="104">
        <v>7.3</v>
      </c>
      <c r="O43" s="106">
        <v>5630</v>
      </c>
    </row>
    <row r="44" spans="1:15" s="105" customFormat="1" ht="15" customHeight="1" x14ac:dyDescent="0.2">
      <c r="A44" s="98"/>
      <c r="B44" s="98" t="s">
        <v>464</v>
      </c>
      <c r="C44" s="107" t="s">
        <v>361</v>
      </c>
      <c r="D44" s="100" t="s">
        <v>137</v>
      </c>
      <c r="E44" s="101">
        <v>0.8</v>
      </c>
      <c r="F44" s="101" t="s">
        <v>96</v>
      </c>
      <c r="G44" s="102">
        <v>2.2000000000000002</v>
      </c>
      <c r="H44" s="103">
        <v>0.03</v>
      </c>
      <c r="I44" s="104">
        <v>2.5</v>
      </c>
      <c r="J44" s="104">
        <v>0.03</v>
      </c>
      <c r="K44" s="104" t="s">
        <v>502</v>
      </c>
      <c r="L44" s="104" t="s">
        <v>401</v>
      </c>
      <c r="M44" s="104">
        <v>7.3</v>
      </c>
      <c r="O44" s="106">
        <v>5630</v>
      </c>
    </row>
    <row r="45" spans="1:15" s="105" customFormat="1" ht="15" customHeight="1" x14ac:dyDescent="0.2">
      <c r="A45" s="98"/>
      <c r="B45" s="98" t="s">
        <v>464</v>
      </c>
      <c r="C45" s="107" t="s">
        <v>361</v>
      </c>
      <c r="D45" s="100" t="s">
        <v>138</v>
      </c>
      <c r="E45" s="101">
        <v>0.9</v>
      </c>
      <c r="F45" s="101" t="s">
        <v>96</v>
      </c>
      <c r="G45" s="102">
        <v>2.5</v>
      </c>
      <c r="H45" s="103">
        <v>0.03</v>
      </c>
      <c r="I45" s="104">
        <v>2.8</v>
      </c>
      <c r="J45" s="104">
        <v>0.03</v>
      </c>
      <c r="K45" s="104" t="s">
        <v>502</v>
      </c>
      <c r="L45" s="104" t="s">
        <v>401</v>
      </c>
      <c r="M45" s="104">
        <v>7.3</v>
      </c>
      <c r="O45" s="106">
        <v>5699</v>
      </c>
    </row>
    <row r="46" spans="1:15" s="105" customFormat="1" ht="15" customHeight="1" x14ac:dyDescent="0.2">
      <c r="A46" s="98"/>
      <c r="B46" s="98" t="s">
        <v>464</v>
      </c>
      <c r="C46" s="107" t="s">
        <v>361</v>
      </c>
      <c r="D46" s="100" t="s">
        <v>139</v>
      </c>
      <c r="E46" s="101">
        <v>1</v>
      </c>
      <c r="F46" s="101" t="s">
        <v>96</v>
      </c>
      <c r="G46" s="102">
        <v>2.8</v>
      </c>
      <c r="H46" s="103">
        <v>3.5000000000000003E-2</v>
      </c>
      <c r="I46" s="104">
        <v>3.2</v>
      </c>
      <c r="J46" s="104">
        <v>3.5000000000000003E-2</v>
      </c>
      <c r="K46" s="104" t="s">
        <v>502</v>
      </c>
      <c r="L46" s="104" t="s">
        <v>401</v>
      </c>
      <c r="M46" s="104">
        <v>7.3</v>
      </c>
      <c r="O46" s="106">
        <v>5768</v>
      </c>
    </row>
    <row r="47" spans="1:15" s="105" customFormat="1" ht="15" customHeight="1" x14ac:dyDescent="0.2">
      <c r="A47" s="98"/>
      <c r="B47" s="98" t="s">
        <v>464</v>
      </c>
      <c r="C47" s="107" t="s">
        <v>361</v>
      </c>
      <c r="D47" s="100" t="s">
        <v>140</v>
      </c>
      <c r="E47" s="101">
        <v>1.2</v>
      </c>
      <c r="F47" s="101" t="s">
        <v>96</v>
      </c>
      <c r="G47" s="102">
        <v>3.2</v>
      </c>
      <c r="H47" s="103">
        <v>0.04</v>
      </c>
      <c r="I47" s="104">
        <v>3.6</v>
      </c>
      <c r="J47" s="104">
        <v>0.04</v>
      </c>
      <c r="K47" s="104" t="s">
        <v>502</v>
      </c>
      <c r="L47" s="104" t="s">
        <v>401</v>
      </c>
      <c r="M47" s="104">
        <v>7.3</v>
      </c>
      <c r="O47" s="106">
        <v>5797</v>
      </c>
    </row>
    <row r="48" spans="1:15" s="105" customFormat="1" ht="15" customHeight="1" x14ac:dyDescent="0.2">
      <c r="A48" s="98"/>
      <c r="B48" s="98" t="s">
        <v>464</v>
      </c>
      <c r="C48" s="107" t="s">
        <v>361</v>
      </c>
      <c r="D48" s="100" t="s">
        <v>141</v>
      </c>
      <c r="E48" s="101">
        <v>1.5</v>
      </c>
      <c r="F48" s="101" t="s">
        <v>96</v>
      </c>
      <c r="G48" s="102">
        <v>3.6</v>
      </c>
      <c r="H48" s="103">
        <v>0.04</v>
      </c>
      <c r="I48" s="104">
        <v>4.2</v>
      </c>
      <c r="J48" s="104">
        <v>0.04</v>
      </c>
      <c r="K48" s="104" t="s">
        <v>502</v>
      </c>
      <c r="L48" s="104" t="s">
        <v>401</v>
      </c>
      <c r="M48" s="104">
        <v>7.3</v>
      </c>
      <c r="O48" s="106">
        <v>5894</v>
      </c>
    </row>
    <row r="49" spans="1:15" s="105" customFormat="1" ht="15" customHeight="1" x14ac:dyDescent="0.2">
      <c r="A49" s="98"/>
      <c r="B49" s="98" t="s">
        <v>464</v>
      </c>
      <c r="C49" s="107" t="s">
        <v>361</v>
      </c>
      <c r="D49" s="100" t="s">
        <v>142</v>
      </c>
      <c r="E49" s="101">
        <v>1.6</v>
      </c>
      <c r="F49" s="101" t="s">
        <v>96</v>
      </c>
      <c r="G49" s="102">
        <v>4</v>
      </c>
      <c r="H49" s="103">
        <v>4.4999999999999998E-2</v>
      </c>
      <c r="I49" s="104">
        <v>4.5</v>
      </c>
      <c r="J49" s="104">
        <v>4.4999999999999998E-2</v>
      </c>
      <c r="K49" s="104" t="s">
        <v>504</v>
      </c>
      <c r="L49" s="104" t="s">
        <v>401</v>
      </c>
      <c r="M49" s="104">
        <v>7.3</v>
      </c>
      <c r="O49" s="106">
        <v>5907</v>
      </c>
    </row>
    <row r="50" spans="1:15" s="105" customFormat="1" ht="15" customHeight="1" x14ac:dyDescent="0.2">
      <c r="A50" s="98"/>
      <c r="B50" s="98" t="s">
        <v>464</v>
      </c>
      <c r="C50" s="107" t="s">
        <v>361</v>
      </c>
      <c r="D50" s="100" t="s">
        <v>143</v>
      </c>
      <c r="E50" s="101">
        <v>1.8</v>
      </c>
      <c r="F50" s="101" t="s">
        <v>96</v>
      </c>
      <c r="G50" s="102">
        <v>4.5</v>
      </c>
      <c r="H50" s="103">
        <v>0.05</v>
      </c>
      <c r="I50" s="104">
        <v>5</v>
      </c>
      <c r="J50" s="104">
        <v>0.05</v>
      </c>
      <c r="K50" s="104" t="s">
        <v>504</v>
      </c>
      <c r="L50" s="104" t="s">
        <v>401</v>
      </c>
      <c r="M50" s="104">
        <v>7.3</v>
      </c>
      <c r="O50" s="106">
        <v>6075</v>
      </c>
    </row>
    <row r="51" spans="1:15" s="105" customFormat="1" ht="15" customHeight="1" x14ac:dyDescent="0.2">
      <c r="A51" s="98"/>
      <c r="B51" s="98" t="s">
        <v>464</v>
      </c>
      <c r="C51" s="107" t="s">
        <v>361</v>
      </c>
      <c r="D51" s="100" t="s">
        <v>144</v>
      </c>
      <c r="E51" s="101">
        <v>1.9</v>
      </c>
      <c r="F51" s="101" t="s">
        <v>96</v>
      </c>
      <c r="G51" s="102">
        <v>5</v>
      </c>
      <c r="H51" s="103">
        <v>5.5E-2</v>
      </c>
      <c r="I51" s="104">
        <v>5.6</v>
      </c>
      <c r="J51" s="104">
        <v>5.5E-2</v>
      </c>
      <c r="K51" s="104" t="s">
        <v>504</v>
      </c>
      <c r="L51" s="104" t="s">
        <v>401</v>
      </c>
      <c r="M51" s="104">
        <v>7.3</v>
      </c>
      <c r="O51" s="106">
        <v>6198</v>
      </c>
    </row>
    <row r="52" spans="1:15" s="105" customFormat="1" ht="15" customHeight="1" x14ac:dyDescent="0.2">
      <c r="A52" s="98"/>
      <c r="B52" s="98" t="s">
        <v>464</v>
      </c>
      <c r="C52" s="107" t="s">
        <v>361</v>
      </c>
      <c r="D52" s="100" t="s">
        <v>145</v>
      </c>
      <c r="E52" s="101">
        <v>2</v>
      </c>
      <c r="F52" s="101" t="s">
        <v>96</v>
      </c>
      <c r="G52" s="102">
        <v>5.6</v>
      </c>
      <c r="H52" s="103">
        <v>5.5E-2</v>
      </c>
      <c r="I52" s="104">
        <v>6.3</v>
      </c>
      <c r="J52" s="104">
        <v>5.5E-2</v>
      </c>
      <c r="K52" s="104" t="s">
        <v>504</v>
      </c>
      <c r="L52" s="104" t="s">
        <v>401</v>
      </c>
      <c r="M52" s="104">
        <v>7.3</v>
      </c>
      <c r="O52" s="106">
        <v>6337</v>
      </c>
    </row>
    <row r="53" spans="1:15" s="105" customFormat="1" ht="15" customHeight="1" x14ac:dyDescent="0.2">
      <c r="A53" s="98"/>
      <c r="B53" s="98" t="s">
        <v>464</v>
      </c>
      <c r="C53" s="107" t="s">
        <v>361</v>
      </c>
      <c r="D53" s="100" t="s">
        <v>146</v>
      </c>
      <c r="E53" s="101">
        <v>2.5</v>
      </c>
      <c r="F53" s="101" t="s">
        <v>96</v>
      </c>
      <c r="G53" s="102">
        <v>6.3</v>
      </c>
      <c r="H53" s="103">
        <v>6.5000000000000002E-2</v>
      </c>
      <c r="I53" s="104">
        <v>7.1</v>
      </c>
      <c r="J53" s="104">
        <v>6.5000000000000002E-2</v>
      </c>
      <c r="K53" s="104" t="s">
        <v>505</v>
      </c>
      <c r="L53" s="104" t="s">
        <v>401</v>
      </c>
      <c r="M53" s="104">
        <v>7.3</v>
      </c>
      <c r="O53" s="106">
        <v>6822</v>
      </c>
    </row>
    <row r="54" spans="1:15" s="105" customFormat="1" ht="15" customHeight="1" x14ac:dyDescent="0.2">
      <c r="A54" s="98"/>
      <c r="B54" s="98" t="s">
        <v>464</v>
      </c>
      <c r="C54" s="107" t="s">
        <v>361</v>
      </c>
      <c r="D54" s="100" t="s">
        <v>147</v>
      </c>
      <c r="E54" s="101">
        <v>3</v>
      </c>
      <c r="F54" s="101" t="s">
        <v>96</v>
      </c>
      <c r="G54" s="102">
        <v>7.3</v>
      </c>
      <c r="H54" s="103">
        <v>6.5000000000000002E-2</v>
      </c>
      <c r="I54" s="104">
        <v>8</v>
      </c>
      <c r="J54" s="104">
        <v>6.5000000000000002E-2</v>
      </c>
      <c r="K54" s="104" t="s">
        <v>505</v>
      </c>
      <c r="L54" s="104" t="s">
        <v>401</v>
      </c>
      <c r="M54" s="104">
        <v>7.3</v>
      </c>
      <c r="O54" s="106">
        <v>7669</v>
      </c>
    </row>
    <row r="55" spans="1:15" s="94" customFormat="1" ht="15" customHeight="1" x14ac:dyDescent="0.2">
      <c r="A55" s="86"/>
      <c r="B55" s="86" t="s">
        <v>513</v>
      </c>
      <c r="C55" s="87" t="s">
        <v>442</v>
      </c>
      <c r="D55" s="88" t="s">
        <v>444</v>
      </c>
      <c r="E55" s="89">
        <v>0.8</v>
      </c>
      <c r="F55" s="89" t="s">
        <v>96</v>
      </c>
      <c r="G55" s="90">
        <v>2.2000000000000002</v>
      </c>
      <c r="H55" s="91">
        <v>0.03</v>
      </c>
      <c r="I55" s="92">
        <v>2.5</v>
      </c>
      <c r="J55" s="92">
        <v>0.03</v>
      </c>
      <c r="K55" s="92" t="s">
        <v>502</v>
      </c>
      <c r="L55" s="92" t="s">
        <v>465</v>
      </c>
      <c r="M55" s="92">
        <v>7.3</v>
      </c>
      <c r="O55" s="93">
        <v>3665</v>
      </c>
    </row>
    <row r="56" spans="1:15" s="94" customFormat="1" ht="15" customHeight="1" x14ac:dyDescent="0.2">
      <c r="A56" s="86"/>
      <c r="B56" s="86" t="s">
        <v>513</v>
      </c>
      <c r="C56" s="87" t="s">
        <v>442</v>
      </c>
      <c r="D56" s="88" t="s">
        <v>445</v>
      </c>
      <c r="E56" s="89">
        <v>1</v>
      </c>
      <c r="F56" s="89" t="s">
        <v>96</v>
      </c>
      <c r="G56" s="90">
        <v>2.8</v>
      </c>
      <c r="H56" s="91">
        <v>3.5000000000000003E-2</v>
      </c>
      <c r="I56" s="92">
        <v>3.2</v>
      </c>
      <c r="J56" s="92">
        <v>3.5000000000000003E-2</v>
      </c>
      <c r="K56" s="92" t="s">
        <v>502</v>
      </c>
      <c r="L56" s="92" t="s">
        <v>465</v>
      </c>
      <c r="M56" s="92">
        <v>7.3</v>
      </c>
      <c r="O56" s="93">
        <v>3783</v>
      </c>
    </row>
    <row r="57" spans="1:15" s="94" customFormat="1" ht="15" customHeight="1" x14ac:dyDescent="0.2">
      <c r="A57" s="86"/>
      <c r="B57" s="86" t="s">
        <v>513</v>
      </c>
      <c r="C57" s="87" t="s">
        <v>442</v>
      </c>
      <c r="D57" s="88" t="s">
        <v>446</v>
      </c>
      <c r="E57" s="89">
        <v>1.5</v>
      </c>
      <c r="F57" s="89" t="s">
        <v>96</v>
      </c>
      <c r="G57" s="90">
        <v>3.6</v>
      </c>
      <c r="H57" s="91">
        <v>0.04</v>
      </c>
      <c r="I57" s="92">
        <v>4.2</v>
      </c>
      <c r="J57" s="92">
        <v>0.04</v>
      </c>
      <c r="K57" s="92" t="s">
        <v>502</v>
      </c>
      <c r="L57" s="92" t="s">
        <v>465</v>
      </c>
      <c r="M57" s="92">
        <v>7.3</v>
      </c>
      <c r="O57" s="93">
        <v>3898</v>
      </c>
    </row>
    <row r="58" spans="1:15" s="94" customFormat="1" ht="15" customHeight="1" x14ac:dyDescent="0.2">
      <c r="A58" s="86"/>
      <c r="B58" s="86" t="s">
        <v>513</v>
      </c>
      <c r="C58" s="87" t="s">
        <v>442</v>
      </c>
      <c r="D58" s="88" t="s">
        <v>461</v>
      </c>
      <c r="E58" s="89">
        <v>1.6</v>
      </c>
      <c r="F58" s="89" t="s">
        <v>96</v>
      </c>
      <c r="G58" s="90">
        <v>4.3</v>
      </c>
      <c r="H58" s="91"/>
      <c r="I58" s="92">
        <v>4.9000000000000004</v>
      </c>
      <c r="J58" s="92"/>
      <c r="K58" s="92" t="s">
        <v>504</v>
      </c>
      <c r="L58" s="92" t="s">
        <v>465</v>
      </c>
      <c r="M58" s="92">
        <v>7.3</v>
      </c>
      <c r="O58" s="93">
        <v>4363</v>
      </c>
    </row>
    <row r="59" spans="1:15" s="94" customFormat="1" ht="15" customHeight="1" x14ac:dyDescent="0.2">
      <c r="A59" s="86"/>
      <c r="B59" s="86" t="s">
        <v>513</v>
      </c>
      <c r="C59" s="87" t="s">
        <v>442</v>
      </c>
      <c r="D59" s="88" t="s">
        <v>447</v>
      </c>
      <c r="E59" s="89">
        <v>1.9</v>
      </c>
      <c r="F59" s="89" t="s">
        <v>96</v>
      </c>
      <c r="G59" s="90">
        <v>5</v>
      </c>
      <c r="H59" s="91">
        <v>5.5E-2</v>
      </c>
      <c r="I59" s="92">
        <v>5.6</v>
      </c>
      <c r="J59" s="92">
        <v>5.5E-2</v>
      </c>
      <c r="K59" s="92" t="s">
        <v>504</v>
      </c>
      <c r="L59" s="92" t="s">
        <v>465</v>
      </c>
      <c r="M59" s="92">
        <v>7.3</v>
      </c>
      <c r="O59" s="93">
        <v>4387</v>
      </c>
    </row>
    <row r="60" spans="1:15" s="94" customFormat="1" ht="15" customHeight="1" x14ac:dyDescent="0.2">
      <c r="A60" s="86"/>
      <c r="B60" s="86" t="s">
        <v>513</v>
      </c>
      <c r="C60" s="87" t="s">
        <v>442</v>
      </c>
      <c r="D60" s="88" t="s">
        <v>448</v>
      </c>
      <c r="E60" s="89">
        <v>2</v>
      </c>
      <c r="F60" s="89" t="s">
        <v>96</v>
      </c>
      <c r="G60" s="90">
        <v>5.6</v>
      </c>
      <c r="H60" s="91">
        <v>5.5E-2</v>
      </c>
      <c r="I60" s="92">
        <v>6.3</v>
      </c>
      <c r="J60" s="92">
        <v>5.5E-2</v>
      </c>
      <c r="K60" s="92" t="s">
        <v>504</v>
      </c>
      <c r="L60" s="92" t="s">
        <v>465</v>
      </c>
      <c r="M60" s="92">
        <v>7.3</v>
      </c>
      <c r="O60" s="93">
        <v>4411</v>
      </c>
    </row>
    <row r="61" spans="1:15" s="94" customFormat="1" ht="15" customHeight="1" x14ac:dyDescent="0.2">
      <c r="A61" s="86"/>
      <c r="B61" s="86" t="s">
        <v>513</v>
      </c>
      <c r="C61" s="87" t="s">
        <v>442</v>
      </c>
      <c r="D61" s="88" t="s">
        <v>449</v>
      </c>
      <c r="E61" s="89">
        <v>2.5</v>
      </c>
      <c r="F61" s="89" t="s">
        <v>96</v>
      </c>
      <c r="G61" s="90">
        <v>6.3</v>
      </c>
      <c r="H61" s="91">
        <v>6.5000000000000002E-2</v>
      </c>
      <c r="I61" s="92">
        <v>7.1</v>
      </c>
      <c r="J61" s="92">
        <v>6.5000000000000002E-2</v>
      </c>
      <c r="K61" s="92" t="s">
        <v>505</v>
      </c>
      <c r="L61" s="92" t="s">
        <v>465</v>
      </c>
      <c r="M61" s="92">
        <v>7.3</v>
      </c>
      <c r="O61" s="93">
        <v>4925</v>
      </c>
    </row>
    <row r="62" spans="1:15" s="94" customFormat="1" ht="15" customHeight="1" x14ac:dyDescent="0.2">
      <c r="A62" s="86"/>
      <c r="B62" s="86" t="s">
        <v>513</v>
      </c>
      <c r="C62" s="87" t="s">
        <v>442</v>
      </c>
      <c r="D62" s="88" t="s">
        <v>450</v>
      </c>
      <c r="E62" s="89">
        <v>3</v>
      </c>
      <c r="F62" s="89" t="s">
        <v>96</v>
      </c>
      <c r="G62" s="90">
        <v>7.3</v>
      </c>
      <c r="H62" s="91">
        <v>6.5000000000000002E-2</v>
      </c>
      <c r="I62" s="92">
        <v>8</v>
      </c>
      <c r="J62" s="92">
        <v>6.5000000000000002E-2</v>
      </c>
      <c r="K62" s="92" t="s">
        <v>505</v>
      </c>
      <c r="L62" s="92" t="s">
        <v>465</v>
      </c>
      <c r="M62" s="92">
        <v>7.3</v>
      </c>
      <c r="O62" s="93">
        <v>5723</v>
      </c>
    </row>
    <row r="63" spans="1:15" s="94" customFormat="1" ht="15" customHeight="1" x14ac:dyDescent="0.2">
      <c r="A63" s="86"/>
      <c r="B63" s="86" t="s">
        <v>513</v>
      </c>
      <c r="C63" s="87" t="s">
        <v>443</v>
      </c>
      <c r="D63" s="88" t="s">
        <v>451</v>
      </c>
      <c r="E63" s="89">
        <v>0.8</v>
      </c>
      <c r="F63" s="89" t="s">
        <v>96</v>
      </c>
      <c r="G63" s="90">
        <v>2.2000000000000002</v>
      </c>
      <c r="H63" s="91">
        <v>0.03</v>
      </c>
      <c r="I63" s="92">
        <v>2.5</v>
      </c>
      <c r="J63" s="92">
        <v>0.03</v>
      </c>
      <c r="K63" s="92" t="s">
        <v>502</v>
      </c>
      <c r="L63" s="92" t="s">
        <v>466</v>
      </c>
      <c r="M63" s="92">
        <v>11.2</v>
      </c>
      <c r="O63" s="93">
        <v>4281</v>
      </c>
    </row>
    <row r="64" spans="1:15" s="94" customFormat="1" ht="15" customHeight="1" x14ac:dyDescent="0.2">
      <c r="A64" s="86"/>
      <c r="B64" s="86" t="s">
        <v>513</v>
      </c>
      <c r="C64" s="87" t="s">
        <v>443</v>
      </c>
      <c r="D64" s="88" t="s">
        <v>452</v>
      </c>
      <c r="E64" s="89">
        <v>1</v>
      </c>
      <c r="F64" s="89" t="s">
        <v>96</v>
      </c>
      <c r="G64" s="90">
        <v>2.8</v>
      </c>
      <c r="H64" s="91">
        <v>3.5000000000000003E-2</v>
      </c>
      <c r="I64" s="92">
        <v>3.2</v>
      </c>
      <c r="J64" s="92">
        <v>3.5000000000000003E-2</v>
      </c>
      <c r="K64" s="92" t="s">
        <v>502</v>
      </c>
      <c r="L64" s="92" t="s">
        <v>466</v>
      </c>
      <c r="M64" s="92">
        <v>11.2</v>
      </c>
      <c r="O64" s="93">
        <v>4397</v>
      </c>
    </row>
    <row r="65" spans="1:15" s="94" customFormat="1" ht="15" customHeight="1" x14ac:dyDescent="0.2">
      <c r="A65" s="86"/>
      <c r="B65" s="86" t="s">
        <v>513</v>
      </c>
      <c r="C65" s="87" t="s">
        <v>443</v>
      </c>
      <c r="D65" s="88" t="s">
        <v>453</v>
      </c>
      <c r="E65" s="89">
        <v>1.5</v>
      </c>
      <c r="F65" s="89" t="s">
        <v>96</v>
      </c>
      <c r="G65" s="90">
        <v>3.6</v>
      </c>
      <c r="H65" s="91">
        <v>0.04</v>
      </c>
      <c r="I65" s="92">
        <v>4.2</v>
      </c>
      <c r="J65" s="92">
        <v>0.04</v>
      </c>
      <c r="K65" s="92" t="s">
        <v>502</v>
      </c>
      <c r="L65" s="92" t="s">
        <v>466</v>
      </c>
      <c r="M65" s="92">
        <v>11.2</v>
      </c>
      <c r="O65" s="93">
        <v>4510</v>
      </c>
    </row>
    <row r="66" spans="1:15" s="94" customFormat="1" ht="15" customHeight="1" x14ac:dyDescent="0.2">
      <c r="A66" s="86"/>
      <c r="B66" s="86" t="s">
        <v>513</v>
      </c>
      <c r="C66" s="87" t="s">
        <v>443</v>
      </c>
      <c r="D66" s="88" t="s">
        <v>462</v>
      </c>
      <c r="E66" s="89">
        <v>1.6</v>
      </c>
      <c r="F66" s="89" t="s">
        <v>96</v>
      </c>
      <c r="G66" s="90">
        <v>4.3</v>
      </c>
      <c r="H66" s="91"/>
      <c r="I66" s="92">
        <v>4.9000000000000004</v>
      </c>
      <c r="J66" s="92"/>
      <c r="K66" s="92" t="s">
        <v>504</v>
      </c>
      <c r="L66" s="92" t="s">
        <v>466</v>
      </c>
      <c r="M66" s="92">
        <v>7.3</v>
      </c>
      <c r="O66" s="93">
        <v>4794</v>
      </c>
    </row>
    <row r="67" spans="1:15" s="94" customFormat="1" ht="15" customHeight="1" x14ac:dyDescent="0.2">
      <c r="A67" s="86"/>
      <c r="B67" s="86" t="s">
        <v>513</v>
      </c>
      <c r="C67" s="87" t="s">
        <v>443</v>
      </c>
      <c r="D67" s="88" t="s">
        <v>454</v>
      </c>
      <c r="E67" s="89">
        <v>1.9</v>
      </c>
      <c r="F67" s="89" t="s">
        <v>96</v>
      </c>
      <c r="G67" s="90">
        <v>5</v>
      </c>
      <c r="H67" s="91">
        <v>5.5E-2</v>
      </c>
      <c r="I67" s="92">
        <v>5.6</v>
      </c>
      <c r="J67" s="92">
        <v>5.5E-2</v>
      </c>
      <c r="K67" s="92" t="s">
        <v>504</v>
      </c>
      <c r="L67" s="92" t="s">
        <v>466</v>
      </c>
      <c r="M67" s="92">
        <v>11.2</v>
      </c>
      <c r="O67" s="93">
        <v>4841</v>
      </c>
    </row>
    <row r="68" spans="1:15" s="94" customFormat="1" ht="15" customHeight="1" x14ac:dyDescent="0.2">
      <c r="A68" s="86"/>
      <c r="B68" s="86" t="s">
        <v>513</v>
      </c>
      <c r="C68" s="87" t="s">
        <v>443</v>
      </c>
      <c r="D68" s="88" t="s">
        <v>455</v>
      </c>
      <c r="E68" s="89">
        <v>2</v>
      </c>
      <c r="F68" s="89" t="s">
        <v>96</v>
      </c>
      <c r="G68" s="90">
        <v>5.6</v>
      </c>
      <c r="H68" s="91">
        <v>5.5E-2</v>
      </c>
      <c r="I68" s="92">
        <v>6.3</v>
      </c>
      <c r="J68" s="92">
        <v>5.5E-2</v>
      </c>
      <c r="K68" s="92" t="s">
        <v>504</v>
      </c>
      <c r="L68" s="92" t="s">
        <v>466</v>
      </c>
      <c r="M68" s="92">
        <v>11.2</v>
      </c>
      <c r="O68" s="93">
        <v>4893</v>
      </c>
    </row>
    <row r="69" spans="1:15" s="94" customFormat="1" ht="15" customHeight="1" x14ac:dyDescent="0.2">
      <c r="A69" s="86"/>
      <c r="B69" s="86" t="s">
        <v>513</v>
      </c>
      <c r="C69" s="87" t="s">
        <v>443</v>
      </c>
      <c r="D69" s="88" t="s">
        <v>456</v>
      </c>
      <c r="E69" s="89">
        <v>2.5</v>
      </c>
      <c r="F69" s="89" t="s">
        <v>96</v>
      </c>
      <c r="G69" s="90">
        <v>6.3</v>
      </c>
      <c r="H69" s="91">
        <v>6.5000000000000002E-2</v>
      </c>
      <c r="I69" s="92">
        <v>7.1</v>
      </c>
      <c r="J69" s="92">
        <v>6.5000000000000002E-2</v>
      </c>
      <c r="K69" s="92" t="s">
        <v>505</v>
      </c>
      <c r="L69" s="92" t="s">
        <v>466</v>
      </c>
      <c r="M69" s="92">
        <v>11.2</v>
      </c>
      <c r="O69" s="93">
        <v>5557</v>
      </c>
    </row>
    <row r="70" spans="1:15" s="94" customFormat="1" ht="15" customHeight="1" x14ac:dyDescent="0.2">
      <c r="A70" s="86"/>
      <c r="B70" s="86" t="s">
        <v>513</v>
      </c>
      <c r="C70" s="87" t="s">
        <v>443</v>
      </c>
      <c r="D70" s="88" t="s">
        <v>457</v>
      </c>
      <c r="E70" s="89">
        <v>3</v>
      </c>
      <c r="F70" s="89" t="s">
        <v>96</v>
      </c>
      <c r="G70" s="90">
        <v>7.3</v>
      </c>
      <c r="H70" s="91">
        <v>6.5000000000000002E-2</v>
      </c>
      <c r="I70" s="92">
        <v>8</v>
      </c>
      <c r="J70" s="92">
        <v>6.5000000000000002E-2</v>
      </c>
      <c r="K70" s="92" t="s">
        <v>505</v>
      </c>
      <c r="L70" s="92" t="s">
        <v>466</v>
      </c>
      <c r="M70" s="92">
        <v>11.2</v>
      </c>
      <c r="O70" s="93">
        <v>6319</v>
      </c>
    </row>
    <row r="71" spans="1:15" s="94" customFormat="1" ht="15" customHeight="1" x14ac:dyDescent="0.2">
      <c r="A71" s="86"/>
      <c r="B71" s="86" t="s">
        <v>513</v>
      </c>
      <c r="C71" s="87" t="s">
        <v>443</v>
      </c>
      <c r="D71" s="88" t="s">
        <v>458</v>
      </c>
      <c r="E71" s="95">
        <v>3.5</v>
      </c>
      <c r="F71" s="89" t="s">
        <v>96</v>
      </c>
      <c r="G71" s="96">
        <v>9</v>
      </c>
      <c r="H71" s="91">
        <v>8.5000000000000006E-2</v>
      </c>
      <c r="I71" s="97">
        <v>10.5</v>
      </c>
      <c r="J71" s="92">
        <v>8.5000000000000006E-2</v>
      </c>
      <c r="K71" s="92" t="s">
        <v>506</v>
      </c>
      <c r="L71" s="92" t="s">
        <v>466</v>
      </c>
      <c r="M71" s="92">
        <v>11.2</v>
      </c>
      <c r="O71" s="93">
        <v>6943</v>
      </c>
    </row>
    <row r="72" spans="1:15" s="94" customFormat="1" ht="15" customHeight="1" x14ac:dyDescent="0.2">
      <c r="A72" s="86"/>
      <c r="B72" s="86" t="s">
        <v>513</v>
      </c>
      <c r="C72" s="87" t="s">
        <v>443</v>
      </c>
      <c r="D72" s="88" t="s">
        <v>459</v>
      </c>
      <c r="E72" s="95">
        <v>3.7</v>
      </c>
      <c r="F72" s="89" t="s">
        <v>96</v>
      </c>
      <c r="G72" s="96">
        <v>10</v>
      </c>
      <c r="H72" s="91">
        <v>0.13</v>
      </c>
      <c r="I72" s="97">
        <v>11.2</v>
      </c>
      <c r="J72" s="92">
        <v>0.13</v>
      </c>
      <c r="K72" s="92" t="s">
        <v>506</v>
      </c>
      <c r="L72" s="92" t="s">
        <v>466</v>
      </c>
      <c r="M72" s="92">
        <v>11.2</v>
      </c>
      <c r="O72" s="93">
        <v>7494</v>
      </c>
    </row>
    <row r="73" spans="1:15" s="94" customFormat="1" ht="15" customHeight="1" x14ac:dyDescent="0.2">
      <c r="A73" s="86"/>
      <c r="B73" s="86" t="s">
        <v>513</v>
      </c>
      <c r="C73" s="87" t="s">
        <v>443</v>
      </c>
      <c r="D73" s="88" t="s">
        <v>460</v>
      </c>
      <c r="E73" s="95">
        <v>4</v>
      </c>
      <c r="F73" s="89" t="s">
        <v>96</v>
      </c>
      <c r="G73" s="96">
        <v>11.2</v>
      </c>
      <c r="H73" s="91">
        <v>0.13</v>
      </c>
      <c r="I73" s="97">
        <v>12.5</v>
      </c>
      <c r="J73" s="92">
        <v>0.13</v>
      </c>
      <c r="K73" s="92" t="s">
        <v>506</v>
      </c>
      <c r="L73" s="92" t="s">
        <v>466</v>
      </c>
      <c r="M73" s="92">
        <v>11.2</v>
      </c>
      <c r="O73" s="93">
        <v>7948</v>
      </c>
    </row>
    <row r="74" spans="1:15" s="119" customFormat="1" ht="15" customHeight="1" x14ac:dyDescent="0.2">
      <c r="A74" s="111"/>
      <c r="B74" s="111" t="s">
        <v>508</v>
      </c>
      <c r="C74" s="112" t="s">
        <v>511</v>
      </c>
      <c r="D74" s="113" t="s">
        <v>514</v>
      </c>
      <c r="E74" s="114">
        <v>0.7</v>
      </c>
      <c r="F74" s="114" t="s">
        <v>96</v>
      </c>
      <c r="G74" s="115">
        <v>1.8</v>
      </c>
      <c r="H74" s="116">
        <v>0.03</v>
      </c>
      <c r="I74" s="117">
        <v>2.2000000000000002</v>
      </c>
      <c r="J74" s="116">
        <v>0.03</v>
      </c>
      <c r="K74" s="117" t="s">
        <v>503</v>
      </c>
      <c r="L74" s="117" t="s">
        <v>509</v>
      </c>
      <c r="M74" s="117">
        <v>7.3</v>
      </c>
      <c r="N74" s="113"/>
      <c r="O74" s="118">
        <v>4811</v>
      </c>
    </row>
    <row r="75" spans="1:15" s="119" customFormat="1" ht="15" customHeight="1" x14ac:dyDescent="0.2">
      <c r="A75" s="111"/>
      <c r="B75" s="111" t="s">
        <v>508</v>
      </c>
      <c r="C75" s="112" t="s">
        <v>511</v>
      </c>
      <c r="D75" s="113" t="s">
        <v>515</v>
      </c>
      <c r="E75" s="114">
        <v>0.8</v>
      </c>
      <c r="F75" s="114" t="s">
        <v>96</v>
      </c>
      <c r="G75" s="115">
        <v>2.2000000000000002</v>
      </c>
      <c r="H75" s="116">
        <v>0.03</v>
      </c>
      <c r="I75" s="117">
        <v>2.5</v>
      </c>
      <c r="J75" s="116">
        <v>0.03</v>
      </c>
      <c r="K75" s="117" t="s">
        <v>502</v>
      </c>
      <c r="L75" s="117" t="s">
        <v>509</v>
      </c>
      <c r="M75" s="117">
        <v>7.3</v>
      </c>
      <c r="N75" s="113"/>
      <c r="O75" s="118">
        <v>4811</v>
      </c>
    </row>
    <row r="76" spans="1:15" s="119" customFormat="1" ht="15" customHeight="1" x14ac:dyDescent="0.2">
      <c r="A76" s="111"/>
      <c r="B76" s="111" t="s">
        <v>508</v>
      </c>
      <c r="C76" s="112" t="s">
        <v>511</v>
      </c>
      <c r="D76" s="113" t="s">
        <v>516</v>
      </c>
      <c r="E76" s="114">
        <v>0.9</v>
      </c>
      <c r="F76" s="114" t="s">
        <v>96</v>
      </c>
      <c r="G76" s="115">
        <v>2.5</v>
      </c>
      <c r="H76" s="116">
        <v>0.03</v>
      </c>
      <c r="I76" s="117">
        <v>2.8</v>
      </c>
      <c r="J76" s="116">
        <v>0.03</v>
      </c>
      <c r="K76" s="117" t="s">
        <v>502</v>
      </c>
      <c r="L76" s="117" t="s">
        <v>509</v>
      </c>
      <c r="M76" s="117">
        <v>7.3</v>
      </c>
      <c r="N76" s="120"/>
      <c r="O76" s="118">
        <v>4881</v>
      </c>
    </row>
    <row r="77" spans="1:15" s="119" customFormat="1" ht="15" customHeight="1" x14ac:dyDescent="0.2">
      <c r="A77" s="111"/>
      <c r="B77" s="111" t="s">
        <v>508</v>
      </c>
      <c r="C77" s="112" t="s">
        <v>511</v>
      </c>
      <c r="D77" s="113" t="s">
        <v>517</v>
      </c>
      <c r="E77" s="114">
        <v>1</v>
      </c>
      <c r="F77" s="114" t="s">
        <v>96</v>
      </c>
      <c r="G77" s="115">
        <v>2.8</v>
      </c>
      <c r="H77" s="116">
        <v>3.5000000000000003E-2</v>
      </c>
      <c r="I77" s="117">
        <v>3.2</v>
      </c>
      <c r="J77" s="116">
        <v>3.5000000000000003E-2</v>
      </c>
      <c r="K77" s="117" t="s">
        <v>502</v>
      </c>
      <c r="L77" s="117" t="s">
        <v>509</v>
      </c>
      <c r="M77" s="117">
        <v>7.3</v>
      </c>
      <c r="N77" s="120"/>
      <c r="O77" s="118">
        <v>4936</v>
      </c>
    </row>
    <row r="78" spans="1:15" s="119" customFormat="1" ht="15" customHeight="1" x14ac:dyDescent="0.2">
      <c r="A78" s="111"/>
      <c r="B78" s="111" t="s">
        <v>508</v>
      </c>
      <c r="C78" s="112" t="s">
        <v>511</v>
      </c>
      <c r="D78" s="113" t="s">
        <v>518</v>
      </c>
      <c r="E78" s="114">
        <v>1.2</v>
      </c>
      <c r="F78" s="114" t="s">
        <v>96</v>
      </c>
      <c r="G78" s="115">
        <v>3.2</v>
      </c>
      <c r="H78" s="116">
        <v>0.04</v>
      </c>
      <c r="I78" s="117">
        <v>3.6</v>
      </c>
      <c r="J78" s="116">
        <v>0.04</v>
      </c>
      <c r="K78" s="117" t="s">
        <v>502</v>
      </c>
      <c r="L78" s="117" t="s">
        <v>509</v>
      </c>
      <c r="M78" s="117">
        <v>7.3</v>
      </c>
      <c r="N78" s="120"/>
      <c r="O78" s="118">
        <v>5062</v>
      </c>
    </row>
    <row r="79" spans="1:15" s="119" customFormat="1" ht="15" customHeight="1" x14ac:dyDescent="0.2">
      <c r="A79" s="111"/>
      <c r="B79" s="111" t="s">
        <v>508</v>
      </c>
      <c r="C79" s="112" t="s">
        <v>511</v>
      </c>
      <c r="D79" s="113" t="s">
        <v>519</v>
      </c>
      <c r="E79" s="114">
        <v>1.5</v>
      </c>
      <c r="F79" s="114" t="s">
        <v>96</v>
      </c>
      <c r="G79" s="115">
        <v>3.6</v>
      </c>
      <c r="H79" s="116">
        <v>0.04</v>
      </c>
      <c r="I79" s="117">
        <v>4.2</v>
      </c>
      <c r="J79" s="116">
        <v>0.04</v>
      </c>
      <c r="K79" s="117" t="s">
        <v>502</v>
      </c>
      <c r="L79" s="117" t="s">
        <v>509</v>
      </c>
      <c r="M79" s="117">
        <v>7.3</v>
      </c>
      <c r="N79" s="120"/>
      <c r="O79" s="118">
        <v>5062</v>
      </c>
    </row>
    <row r="80" spans="1:15" s="119" customFormat="1" ht="15" customHeight="1" x14ac:dyDescent="0.2">
      <c r="A80" s="111"/>
      <c r="B80" s="111" t="s">
        <v>508</v>
      </c>
      <c r="C80" s="112" t="s">
        <v>511</v>
      </c>
      <c r="D80" s="113" t="s">
        <v>520</v>
      </c>
      <c r="E80" s="114">
        <v>1.6</v>
      </c>
      <c r="F80" s="114" t="s">
        <v>96</v>
      </c>
      <c r="G80" s="115">
        <v>4</v>
      </c>
      <c r="H80" s="116">
        <v>4.4999999999999998E-2</v>
      </c>
      <c r="I80" s="117">
        <v>4.5</v>
      </c>
      <c r="J80" s="116">
        <v>4.4999999999999998E-2</v>
      </c>
      <c r="K80" s="117" t="s">
        <v>504</v>
      </c>
      <c r="L80" s="117" t="s">
        <v>509</v>
      </c>
      <c r="M80" s="117">
        <v>7.3</v>
      </c>
      <c r="N80" s="120"/>
      <c r="O80" s="118">
        <v>5214</v>
      </c>
    </row>
    <row r="81" spans="1:15" s="119" customFormat="1" ht="15" customHeight="1" x14ac:dyDescent="0.2">
      <c r="A81" s="111"/>
      <c r="B81" s="111" t="s">
        <v>508</v>
      </c>
      <c r="C81" s="112" t="s">
        <v>511</v>
      </c>
      <c r="D81" s="113" t="s">
        <v>521</v>
      </c>
      <c r="E81" s="114">
        <v>1.8</v>
      </c>
      <c r="F81" s="114" t="s">
        <v>96</v>
      </c>
      <c r="G81" s="115">
        <v>4.5</v>
      </c>
      <c r="H81" s="116">
        <v>5.5E-2</v>
      </c>
      <c r="I81" s="117">
        <v>5</v>
      </c>
      <c r="J81" s="116">
        <v>5.5E-2</v>
      </c>
      <c r="K81" s="117" t="s">
        <v>504</v>
      </c>
      <c r="L81" s="117" t="s">
        <v>509</v>
      </c>
      <c r="M81" s="117">
        <v>7.3</v>
      </c>
      <c r="N81" s="120"/>
      <c r="O81" s="118">
        <v>5366</v>
      </c>
    </row>
    <row r="82" spans="1:15" s="119" customFormat="1" ht="15" customHeight="1" x14ac:dyDescent="0.2">
      <c r="A82" s="111"/>
      <c r="B82" s="111" t="s">
        <v>508</v>
      </c>
      <c r="C82" s="112" t="s">
        <v>511</v>
      </c>
      <c r="D82" s="113" t="s">
        <v>522</v>
      </c>
      <c r="E82" s="114">
        <v>1.9</v>
      </c>
      <c r="F82" s="114" t="s">
        <v>96</v>
      </c>
      <c r="G82" s="115">
        <v>5</v>
      </c>
      <c r="H82" s="116">
        <v>0.06</v>
      </c>
      <c r="I82" s="117">
        <v>5.6</v>
      </c>
      <c r="J82" s="116">
        <v>0.06</v>
      </c>
      <c r="K82" s="117" t="s">
        <v>504</v>
      </c>
      <c r="L82" s="117" t="s">
        <v>509</v>
      </c>
      <c r="M82" s="117">
        <v>7.3</v>
      </c>
      <c r="N82" s="120"/>
      <c r="O82" s="118">
        <v>5395</v>
      </c>
    </row>
    <row r="83" spans="1:15" s="119" customFormat="1" ht="15" customHeight="1" x14ac:dyDescent="0.2">
      <c r="A83" s="111"/>
      <c r="B83" s="111" t="s">
        <v>508</v>
      </c>
      <c r="C83" s="112" t="s">
        <v>511</v>
      </c>
      <c r="D83" s="113" t="s">
        <v>523</v>
      </c>
      <c r="E83" s="114">
        <v>2</v>
      </c>
      <c r="F83" s="114" t="s">
        <v>96</v>
      </c>
      <c r="G83" s="115">
        <v>5.6</v>
      </c>
      <c r="H83" s="116">
        <v>0.06</v>
      </c>
      <c r="I83" s="117">
        <v>6.3</v>
      </c>
      <c r="J83" s="116">
        <v>0.06</v>
      </c>
      <c r="K83" s="117" t="s">
        <v>504</v>
      </c>
      <c r="L83" s="117" t="s">
        <v>509</v>
      </c>
      <c r="M83" s="117">
        <v>7.3</v>
      </c>
      <c r="N83" s="120"/>
      <c r="O83" s="118">
        <v>5478</v>
      </c>
    </row>
    <row r="84" spans="1:15" s="119" customFormat="1" ht="15" customHeight="1" x14ac:dyDescent="0.2">
      <c r="A84" s="111"/>
      <c r="B84" s="111" t="s">
        <v>508</v>
      </c>
      <c r="C84" s="112" t="s">
        <v>511</v>
      </c>
      <c r="D84" s="113" t="s">
        <v>524</v>
      </c>
      <c r="E84" s="114">
        <v>2.5</v>
      </c>
      <c r="F84" s="114" t="s">
        <v>96</v>
      </c>
      <c r="G84" s="115">
        <v>6.3</v>
      </c>
      <c r="H84" s="116">
        <v>7.0000000000000007E-2</v>
      </c>
      <c r="I84" s="117">
        <v>7.1</v>
      </c>
      <c r="J84" s="116">
        <v>7.0000000000000007E-2</v>
      </c>
      <c r="K84" s="117" t="s">
        <v>505</v>
      </c>
      <c r="L84" s="117" t="s">
        <v>509</v>
      </c>
      <c r="M84" s="117">
        <v>7.3</v>
      </c>
      <c r="N84" s="120"/>
      <c r="O84" s="118">
        <v>6171</v>
      </c>
    </row>
    <row r="85" spans="1:15" s="119" customFormat="1" ht="15" customHeight="1" x14ac:dyDescent="0.2">
      <c r="A85" s="111"/>
      <c r="B85" s="111" t="s">
        <v>508</v>
      </c>
      <c r="C85" s="112" t="s">
        <v>511</v>
      </c>
      <c r="D85" s="113" t="s">
        <v>525</v>
      </c>
      <c r="E85" s="114">
        <v>3</v>
      </c>
      <c r="F85" s="114" t="s">
        <v>96</v>
      </c>
      <c r="G85" s="115">
        <v>7.3</v>
      </c>
      <c r="H85" s="116">
        <v>7.0000000000000007E-2</v>
      </c>
      <c r="I85" s="117">
        <v>8</v>
      </c>
      <c r="J85" s="116">
        <v>7.0000000000000007E-2</v>
      </c>
      <c r="K85" s="117" t="s">
        <v>505</v>
      </c>
      <c r="L85" s="117" t="s">
        <v>509</v>
      </c>
      <c r="M85" s="117">
        <v>7.3</v>
      </c>
      <c r="N85" s="120"/>
      <c r="O85" s="118">
        <v>6878</v>
      </c>
    </row>
    <row r="86" spans="1:15" s="119" customFormat="1" ht="15" customHeight="1" x14ac:dyDescent="0.2">
      <c r="A86" s="111"/>
      <c r="B86" s="111" t="s">
        <v>508</v>
      </c>
      <c r="C86" s="112" t="s">
        <v>512</v>
      </c>
      <c r="D86" s="113" t="s">
        <v>526</v>
      </c>
      <c r="E86" s="114">
        <v>0.7</v>
      </c>
      <c r="F86" s="114" t="s">
        <v>96</v>
      </c>
      <c r="G86" s="115">
        <v>1.8</v>
      </c>
      <c r="H86" s="116">
        <v>0.03</v>
      </c>
      <c r="I86" s="117">
        <v>2.2000000000000002</v>
      </c>
      <c r="J86" s="116">
        <v>0.03</v>
      </c>
      <c r="K86" s="117" t="s">
        <v>502</v>
      </c>
      <c r="L86" s="117" t="s">
        <v>510</v>
      </c>
      <c r="M86" s="117">
        <v>11.2</v>
      </c>
      <c r="N86" s="120"/>
      <c r="O86" s="118">
        <v>5270</v>
      </c>
    </row>
    <row r="87" spans="1:15" s="119" customFormat="1" ht="15" customHeight="1" x14ac:dyDescent="0.2">
      <c r="A87" s="111"/>
      <c r="B87" s="111" t="s">
        <v>508</v>
      </c>
      <c r="C87" s="112" t="s">
        <v>512</v>
      </c>
      <c r="D87" s="113" t="s">
        <v>527</v>
      </c>
      <c r="E87" s="114">
        <v>0.8</v>
      </c>
      <c r="F87" s="114" t="s">
        <v>96</v>
      </c>
      <c r="G87" s="115">
        <v>2.2000000000000002</v>
      </c>
      <c r="H87" s="116">
        <v>0.03</v>
      </c>
      <c r="I87" s="117">
        <v>2.5</v>
      </c>
      <c r="J87" s="116">
        <v>0.03</v>
      </c>
      <c r="K87" s="117" t="s">
        <v>502</v>
      </c>
      <c r="L87" s="117" t="s">
        <v>510</v>
      </c>
      <c r="M87" s="117">
        <v>11.2</v>
      </c>
      <c r="N87" s="120"/>
      <c r="O87" s="118">
        <v>5270</v>
      </c>
    </row>
    <row r="88" spans="1:15" s="119" customFormat="1" ht="15" customHeight="1" x14ac:dyDescent="0.2">
      <c r="A88" s="111"/>
      <c r="B88" s="111" t="s">
        <v>508</v>
      </c>
      <c r="C88" s="112" t="s">
        <v>512</v>
      </c>
      <c r="D88" s="113" t="s">
        <v>528</v>
      </c>
      <c r="E88" s="114">
        <v>0.9</v>
      </c>
      <c r="F88" s="114" t="s">
        <v>96</v>
      </c>
      <c r="G88" s="115">
        <v>2.5</v>
      </c>
      <c r="H88" s="116">
        <v>0.03</v>
      </c>
      <c r="I88" s="117">
        <v>2.8</v>
      </c>
      <c r="J88" s="116">
        <v>0.03</v>
      </c>
      <c r="K88" s="117" t="s">
        <v>502</v>
      </c>
      <c r="L88" s="117" t="s">
        <v>510</v>
      </c>
      <c r="M88" s="117">
        <v>11.2</v>
      </c>
      <c r="N88" s="120"/>
      <c r="O88" s="118">
        <v>5339</v>
      </c>
    </row>
    <row r="89" spans="1:15" s="119" customFormat="1" ht="15" customHeight="1" x14ac:dyDescent="0.2">
      <c r="A89" s="111"/>
      <c r="B89" s="111" t="s">
        <v>508</v>
      </c>
      <c r="C89" s="112" t="s">
        <v>512</v>
      </c>
      <c r="D89" s="113" t="s">
        <v>529</v>
      </c>
      <c r="E89" s="114">
        <v>1</v>
      </c>
      <c r="F89" s="114" t="s">
        <v>96</v>
      </c>
      <c r="G89" s="115">
        <v>2.8</v>
      </c>
      <c r="H89" s="116">
        <v>3.5000000000000003E-2</v>
      </c>
      <c r="I89" s="117">
        <v>3.2</v>
      </c>
      <c r="J89" s="116">
        <v>3.5000000000000003E-2</v>
      </c>
      <c r="K89" s="117" t="s">
        <v>502</v>
      </c>
      <c r="L89" s="117" t="s">
        <v>510</v>
      </c>
      <c r="M89" s="117">
        <v>11.2</v>
      </c>
      <c r="N89" s="120"/>
      <c r="O89" s="118">
        <v>5395</v>
      </c>
    </row>
    <row r="90" spans="1:15" s="119" customFormat="1" ht="15" customHeight="1" x14ac:dyDescent="0.2">
      <c r="A90" s="111"/>
      <c r="B90" s="111" t="s">
        <v>508</v>
      </c>
      <c r="C90" s="112" t="s">
        <v>512</v>
      </c>
      <c r="D90" s="113" t="s">
        <v>530</v>
      </c>
      <c r="E90" s="114">
        <v>1.2</v>
      </c>
      <c r="F90" s="114" t="s">
        <v>96</v>
      </c>
      <c r="G90" s="115">
        <v>3.2</v>
      </c>
      <c r="H90" s="116">
        <v>0.04</v>
      </c>
      <c r="I90" s="117">
        <v>3.6</v>
      </c>
      <c r="J90" s="116">
        <v>0.04</v>
      </c>
      <c r="K90" s="117" t="s">
        <v>502</v>
      </c>
      <c r="L90" s="117" t="s">
        <v>510</v>
      </c>
      <c r="M90" s="117">
        <v>11.2</v>
      </c>
      <c r="N90" s="120"/>
      <c r="O90" s="118">
        <v>5520</v>
      </c>
    </row>
    <row r="91" spans="1:15" s="119" customFormat="1" ht="15" customHeight="1" x14ac:dyDescent="0.2">
      <c r="A91" s="111"/>
      <c r="B91" s="111" t="s">
        <v>508</v>
      </c>
      <c r="C91" s="112" t="s">
        <v>512</v>
      </c>
      <c r="D91" s="113" t="s">
        <v>531</v>
      </c>
      <c r="E91" s="114">
        <v>1.5</v>
      </c>
      <c r="F91" s="114" t="s">
        <v>96</v>
      </c>
      <c r="G91" s="115">
        <v>3.6</v>
      </c>
      <c r="H91" s="116">
        <v>0.04</v>
      </c>
      <c r="I91" s="117">
        <v>4.2</v>
      </c>
      <c r="J91" s="116">
        <v>0.04</v>
      </c>
      <c r="K91" s="117" t="s">
        <v>502</v>
      </c>
      <c r="L91" s="117" t="s">
        <v>510</v>
      </c>
      <c r="M91" s="117">
        <v>11.2</v>
      </c>
      <c r="N91" s="120"/>
      <c r="O91" s="118">
        <v>5520</v>
      </c>
    </row>
    <row r="92" spans="1:15" s="119" customFormat="1" ht="15" customHeight="1" x14ac:dyDescent="0.2">
      <c r="A92" s="111"/>
      <c r="B92" s="111" t="s">
        <v>508</v>
      </c>
      <c r="C92" s="112" t="s">
        <v>512</v>
      </c>
      <c r="D92" s="113" t="s">
        <v>532</v>
      </c>
      <c r="E92" s="114">
        <v>1.6</v>
      </c>
      <c r="F92" s="114" t="s">
        <v>96</v>
      </c>
      <c r="G92" s="115">
        <v>4</v>
      </c>
      <c r="H92" s="116">
        <v>0.45</v>
      </c>
      <c r="I92" s="117">
        <v>4.5</v>
      </c>
      <c r="J92" s="116">
        <v>0.45</v>
      </c>
      <c r="K92" s="117" t="s">
        <v>504</v>
      </c>
      <c r="L92" s="117" t="s">
        <v>510</v>
      </c>
      <c r="M92" s="117">
        <v>11.2</v>
      </c>
      <c r="N92" s="120"/>
      <c r="O92" s="118">
        <v>5672</v>
      </c>
    </row>
    <row r="93" spans="1:15" s="119" customFormat="1" ht="15" customHeight="1" x14ac:dyDescent="0.2">
      <c r="A93" s="111"/>
      <c r="B93" s="111" t="s">
        <v>508</v>
      </c>
      <c r="C93" s="112" t="s">
        <v>512</v>
      </c>
      <c r="D93" s="113" t="s">
        <v>533</v>
      </c>
      <c r="E93" s="114">
        <v>1.8</v>
      </c>
      <c r="F93" s="114" t="s">
        <v>96</v>
      </c>
      <c r="G93" s="115">
        <v>4.5</v>
      </c>
      <c r="H93" s="116">
        <v>0.55000000000000004</v>
      </c>
      <c r="I93" s="117">
        <v>5</v>
      </c>
      <c r="J93" s="116">
        <v>0.55000000000000004</v>
      </c>
      <c r="K93" s="117" t="s">
        <v>504</v>
      </c>
      <c r="L93" s="117" t="s">
        <v>510</v>
      </c>
      <c r="M93" s="117">
        <v>11.2</v>
      </c>
      <c r="N93" s="120"/>
      <c r="O93" s="118">
        <v>5824</v>
      </c>
    </row>
    <row r="94" spans="1:15" s="119" customFormat="1" ht="15" customHeight="1" x14ac:dyDescent="0.2">
      <c r="A94" s="111"/>
      <c r="B94" s="111" t="s">
        <v>508</v>
      </c>
      <c r="C94" s="112" t="s">
        <v>512</v>
      </c>
      <c r="D94" s="113" t="s">
        <v>534</v>
      </c>
      <c r="E94" s="114">
        <v>1.9</v>
      </c>
      <c r="F94" s="114" t="s">
        <v>96</v>
      </c>
      <c r="G94" s="115">
        <v>5</v>
      </c>
      <c r="H94" s="116">
        <v>0.06</v>
      </c>
      <c r="I94" s="117">
        <v>5.6</v>
      </c>
      <c r="J94" s="116">
        <v>0.06</v>
      </c>
      <c r="K94" s="117" t="s">
        <v>504</v>
      </c>
      <c r="L94" s="117" t="s">
        <v>510</v>
      </c>
      <c r="M94" s="117">
        <v>11.2</v>
      </c>
      <c r="N94" s="120"/>
      <c r="O94" s="118">
        <v>5851</v>
      </c>
    </row>
    <row r="95" spans="1:15" s="119" customFormat="1" ht="15" customHeight="1" x14ac:dyDescent="0.2">
      <c r="A95" s="111"/>
      <c r="B95" s="111" t="s">
        <v>508</v>
      </c>
      <c r="C95" s="112" t="s">
        <v>512</v>
      </c>
      <c r="D95" s="113" t="s">
        <v>535</v>
      </c>
      <c r="E95" s="114">
        <v>2</v>
      </c>
      <c r="F95" s="114" t="s">
        <v>96</v>
      </c>
      <c r="G95" s="115">
        <v>5.6</v>
      </c>
      <c r="H95" s="116">
        <v>0.06</v>
      </c>
      <c r="I95" s="117">
        <v>6.3</v>
      </c>
      <c r="J95" s="116">
        <v>0.06</v>
      </c>
      <c r="K95" s="117" t="s">
        <v>504</v>
      </c>
      <c r="L95" s="117" t="s">
        <v>510</v>
      </c>
      <c r="M95" s="117">
        <v>11.2</v>
      </c>
      <c r="N95" s="120"/>
      <c r="O95" s="118">
        <v>5977</v>
      </c>
    </row>
    <row r="96" spans="1:15" s="119" customFormat="1" ht="15" customHeight="1" x14ac:dyDescent="0.2">
      <c r="A96" s="111"/>
      <c r="B96" s="111" t="s">
        <v>508</v>
      </c>
      <c r="C96" s="112" t="s">
        <v>512</v>
      </c>
      <c r="D96" s="113" t="s">
        <v>536</v>
      </c>
      <c r="E96" s="114">
        <v>2.5</v>
      </c>
      <c r="F96" s="114" t="s">
        <v>96</v>
      </c>
      <c r="G96" s="115">
        <v>6.3</v>
      </c>
      <c r="H96" s="116">
        <v>7.0000000000000007E-2</v>
      </c>
      <c r="I96" s="117">
        <v>7.1</v>
      </c>
      <c r="J96" s="116">
        <v>7.0000000000000007E-2</v>
      </c>
      <c r="K96" s="117" t="s">
        <v>505</v>
      </c>
      <c r="L96" s="117" t="s">
        <v>510</v>
      </c>
      <c r="M96" s="117">
        <v>11.2</v>
      </c>
      <c r="N96" s="120"/>
      <c r="O96" s="118">
        <v>6726</v>
      </c>
    </row>
    <row r="97" spans="1:15" s="119" customFormat="1" ht="15" customHeight="1" x14ac:dyDescent="0.2">
      <c r="A97" s="111"/>
      <c r="B97" s="111" t="s">
        <v>508</v>
      </c>
      <c r="C97" s="112" t="s">
        <v>512</v>
      </c>
      <c r="D97" s="113" t="s">
        <v>537</v>
      </c>
      <c r="E97" s="114">
        <v>3</v>
      </c>
      <c r="F97" s="114" t="s">
        <v>96</v>
      </c>
      <c r="G97" s="115">
        <v>7.3</v>
      </c>
      <c r="H97" s="116">
        <v>7.0000000000000007E-2</v>
      </c>
      <c r="I97" s="117">
        <v>8</v>
      </c>
      <c r="J97" s="116">
        <v>7.0000000000000007E-2</v>
      </c>
      <c r="K97" s="117" t="s">
        <v>505</v>
      </c>
      <c r="L97" s="117" t="s">
        <v>510</v>
      </c>
      <c r="M97" s="117">
        <v>11.2</v>
      </c>
      <c r="N97" s="120"/>
      <c r="O97" s="118">
        <v>7502</v>
      </c>
    </row>
    <row r="98" spans="1:15" s="119" customFormat="1" ht="15" customHeight="1" x14ac:dyDescent="0.2">
      <c r="A98" s="111"/>
      <c r="B98" s="111" t="s">
        <v>508</v>
      </c>
      <c r="C98" s="112" t="s">
        <v>512</v>
      </c>
      <c r="D98" s="113" t="s">
        <v>538</v>
      </c>
      <c r="E98" s="121">
        <v>3.2</v>
      </c>
      <c r="F98" s="114" t="s">
        <v>96</v>
      </c>
      <c r="G98" s="122">
        <v>8</v>
      </c>
      <c r="H98" s="116">
        <v>8.5000000000000006E-2</v>
      </c>
      <c r="I98" s="123">
        <v>9</v>
      </c>
      <c r="J98" s="116">
        <v>8.5000000000000006E-2</v>
      </c>
      <c r="K98" s="117" t="s">
        <v>506</v>
      </c>
      <c r="L98" s="117" t="s">
        <v>510</v>
      </c>
      <c r="M98" s="117">
        <v>11.2</v>
      </c>
      <c r="N98" s="120"/>
      <c r="O98" s="118">
        <v>8278</v>
      </c>
    </row>
    <row r="99" spans="1:15" s="119" customFormat="1" ht="15" customHeight="1" x14ac:dyDescent="0.2">
      <c r="A99" s="111"/>
      <c r="B99" s="111" t="s">
        <v>508</v>
      </c>
      <c r="C99" s="112" t="s">
        <v>512</v>
      </c>
      <c r="D99" s="113" t="s">
        <v>539</v>
      </c>
      <c r="E99" s="121">
        <v>3.5</v>
      </c>
      <c r="F99" s="114" t="s">
        <v>96</v>
      </c>
      <c r="G99" s="122">
        <v>9</v>
      </c>
      <c r="H99" s="116">
        <v>8.5000000000000006E-2</v>
      </c>
      <c r="I99" s="123">
        <v>10.5</v>
      </c>
      <c r="J99" s="116">
        <v>8.5000000000000006E-2</v>
      </c>
      <c r="K99" s="117" t="s">
        <v>506</v>
      </c>
      <c r="L99" s="117" t="s">
        <v>510</v>
      </c>
      <c r="M99" s="117">
        <v>11.2</v>
      </c>
      <c r="N99" s="120"/>
      <c r="O99" s="118">
        <v>8278</v>
      </c>
    </row>
    <row r="100" spans="1:15" s="119" customFormat="1" ht="15" customHeight="1" x14ac:dyDescent="0.2">
      <c r="A100" s="111"/>
      <c r="B100" s="111" t="s">
        <v>508</v>
      </c>
      <c r="C100" s="112" t="s">
        <v>512</v>
      </c>
      <c r="D100" s="113" t="s">
        <v>540</v>
      </c>
      <c r="E100" s="121">
        <v>3.7</v>
      </c>
      <c r="F100" s="114" t="s">
        <v>96</v>
      </c>
      <c r="G100" s="122">
        <v>10</v>
      </c>
      <c r="H100" s="116">
        <v>0.13</v>
      </c>
      <c r="I100" s="123">
        <v>11.2</v>
      </c>
      <c r="J100" s="116">
        <v>0.13</v>
      </c>
      <c r="K100" s="117" t="s">
        <v>506</v>
      </c>
      <c r="L100" s="117" t="s">
        <v>510</v>
      </c>
      <c r="M100" s="117">
        <v>11.2</v>
      </c>
      <c r="N100" s="120"/>
      <c r="O100" s="118">
        <v>8862</v>
      </c>
    </row>
    <row r="101" spans="1:15" s="119" customFormat="1" ht="15" customHeight="1" x14ac:dyDescent="0.2">
      <c r="A101" s="111"/>
      <c r="B101" s="111" t="s">
        <v>508</v>
      </c>
      <c r="C101" s="112" t="s">
        <v>512</v>
      </c>
      <c r="D101" s="113" t="s">
        <v>541</v>
      </c>
      <c r="E101" s="121">
        <v>4</v>
      </c>
      <c r="F101" s="114" t="s">
        <v>96</v>
      </c>
      <c r="G101" s="122">
        <v>11.2</v>
      </c>
      <c r="H101" s="116">
        <v>0.13</v>
      </c>
      <c r="I101" s="123">
        <v>12.5</v>
      </c>
      <c r="J101" s="116">
        <v>0.13</v>
      </c>
      <c r="K101" s="117" t="s">
        <v>506</v>
      </c>
      <c r="L101" s="117" t="s">
        <v>510</v>
      </c>
      <c r="M101" s="117">
        <v>11.2</v>
      </c>
      <c r="N101" s="120"/>
      <c r="O101" s="118">
        <v>8862</v>
      </c>
    </row>
    <row r="102" spans="1:15" s="67" customFormat="1" ht="15" customHeight="1" x14ac:dyDescent="0.2">
      <c r="A102" s="55"/>
      <c r="B102" s="55" t="s">
        <v>367</v>
      </c>
      <c r="C102" s="56" t="s">
        <v>362</v>
      </c>
      <c r="D102" s="56" t="s">
        <v>148</v>
      </c>
      <c r="E102" s="57">
        <v>1</v>
      </c>
      <c r="F102" s="57" t="s">
        <v>96</v>
      </c>
      <c r="G102" s="57">
        <v>2.8</v>
      </c>
      <c r="H102" s="57"/>
      <c r="I102" s="57">
        <v>3.2</v>
      </c>
      <c r="J102" s="57"/>
      <c r="K102" s="57"/>
      <c r="L102" s="57" t="s">
        <v>149</v>
      </c>
      <c r="M102" s="57"/>
      <c r="O102" s="124">
        <v>6019</v>
      </c>
    </row>
    <row r="103" spans="1:15" s="67" customFormat="1" ht="15" customHeight="1" x14ac:dyDescent="0.2">
      <c r="A103" s="55"/>
      <c r="B103" s="55" t="s">
        <v>367</v>
      </c>
      <c r="C103" s="56" t="s">
        <v>363</v>
      </c>
      <c r="D103" s="56" t="s">
        <v>150</v>
      </c>
      <c r="E103" s="57">
        <v>1</v>
      </c>
      <c r="F103" s="57" t="s">
        <v>96</v>
      </c>
      <c r="G103" s="57">
        <v>2.8</v>
      </c>
      <c r="H103" s="57"/>
      <c r="I103" s="57">
        <v>3.2</v>
      </c>
      <c r="J103" s="57"/>
      <c r="K103" s="57"/>
      <c r="L103" s="57" t="s">
        <v>151</v>
      </c>
      <c r="M103" s="57">
        <v>2.8</v>
      </c>
      <c r="O103" s="58">
        <v>6448</v>
      </c>
    </row>
    <row r="104" spans="1:15" s="67" customFormat="1" ht="15" customHeight="1" x14ac:dyDescent="0.2">
      <c r="A104" s="55"/>
      <c r="B104" s="68" t="s">
        <v>368</v>
      </c>
      <c r="C104" s="56" t="s">
        <v>364</v>
      </c>
      <c r="D104" s="56" t="s">
        <v>152</v>
      </c>
      <c r="E104" s="57">
        <v>0.8</v>
      </c>
      <c r="F104" s="57"/>
      <c r="G104" s="57">
        <v>2.2000000000000002</v>
      </c>
      <c r="H104" s="57"/>
      <c r="I104" s="57">
        <v>2.5</v>
      </c>
      <c r="J104" s="57"/>
      <c r="K104" s="57"/>
      <c r="L104" s="57" t="s">
        <v>153</v>
      </c>
      <c r="M104" s="57">
        <v>16</v>
      </c>
      <c r="O104" s="58"/>
    </row>
    <row r="105" spans="1:15" s="67" customFormat="1" ht="15" customHeight="1" x14ac:dyDescent="0.2">
      <c r="A105" s="55"/>
      <c r="B105" s="68" t="s">
        <v>368</v>
      </c>
      <c r="C105" s="56" t="s">
        <v>364</v>
      </c>
      <c r="D105" s="56" t="s">
        <v>154</v>
      </c>
      <c r="E105" s="57">
        <v>1</v>
      </c>
      <c r="F105" s="57"/>
      <c r="G105" s="57">
        <v>2.8</v>
      </c>
      <c r="H105" s="57"/>
      <c r="I105" s="57">
        <v>3.2</v>
      </c>
      <c r="J105" s="57"/>
      <c r="K105" s="57"/>
      <c r="L105" s="57" t="s">
        <v>153</v>
      </c>
      <c r="M105" s="57">
        <v>16</v>
      </c>
      <c r="O105" s="58"/>
    </row>
    <row r="106" spans="1:15" s="67" customFormat="1" ht="15" customHeight="1" x14ac:dyDescent="0.2">
      <c r="A106" s="55"/>
      <c r="B106" s="68" t="s">
        <v>368</v>
      </c>
      <c r="C106" s="56" t="s">
        <v>364</v>
      </c>
      <c r="D106" s="56" t="s">
        <v>155</v>
      </c>
      <c r="E106" s="57">
        <v>1.5</v>
      </c>
      <c r="F106" s="57"/>
      <c r="G106" s="57">
        <v>3.6</v>
      </c>
      <c r="H106" s="57"/>
      <c r="I106" s="57">
        <v>4.2</v>
      </c>
      <c r="J106" s="57"/>
      <c r="K106" s="57"/>
      <c r="L106" s="57" t="s">
        <v>153</v>
      </c>
      <c r="M106" s="57">
        <v>16</v>
      </c>
      <c r="O106" s="58"/>
    </row>
    <row r="107" spans="1:15" s="67" customFormat="1" ht="15" customHeight="1" x14ac:dyDescent="0.2">
      <c r="A107" s="55"/>
      <c r="B107" s="68" t="s">
        <v>368</v>
      </c>
      <c r="C107" s="56" t="s">
        <v>364</v>
      </c>
      <c r="D107" s="56" t="s">
        <v>156</v>
      </c>
      <c r="E107" s="57">
        <v>1.6</v>
      </c>
      <c r="F107" s="57"/>
      <c r="G107" s="57">
        <v>4</v>
      </c>
      <c r="H107" s="57"/>
      <c r="I107" s="57">
        <v>4.5</v>
      </c>
      <c r="J107" s="57"/>
      <c r="K107" s="57"/>
      <c r="L107" s="57" t="s">
        <v>153</v>
      </c>
      <c r="M107" s="57">
        <v>16</v>
      </c>
      <c r="O107" s="58"/>
    </row>
    <row r="108" spans="1:15" s="67" customFormat="1" ht="15" customHeight="1" x14ac:dyDescent="0.2">
      <c r="A108" s="55"/>
      <c r="B108" s="68" t="s">
        <v>368</v>
      </c>
      <c r="C108" s="56" t="s">
        <v>364</v>
      </c>
      <c r="D108" s="56" t="s">
        <v>157</v>
      </c>
      <c r="E108" s="57">
        <v>1.8</v>
      </c>
      <c r="F108" s="57"/>
      <c r="G108" s="57">
        <v>4.5</v>
      </c>
      <c r="H108" s="57"/>
      <c r="I108" s="57">
        <v>5</v>
      </c>
      <c r="J108" s="57"/>
      <c r="K108" s="57"/>
      <c r="L108" s="57" t="s">
        <v>153</v>
      </c>
      <c r="M108" s="57">
        <v>16</v>
      </c>
      <c r="O108" s="58"/>
    </row>
    <row r="109" spans="1:15" s="67" customFormat="1" ht="15" customHeight="1" x14ac:dyDescent="0.2">
      <c r="A109" s="55"/>
      <c r="B109" s="68" t="s">
        <v>368</v>
      </c>
      <c r="C109" s="56" t="s">
        <v>364</v>
      </c>
      <c r="D109" s="56" t="s">
        <v>158</v>
      </c>
      <c r="E109" s="57">
        <v>1.9</v>
      </c>
      <c r="F109" s="57"/>
      <c r="G109" s="57">
        <v>5</v>
      </c>
      <c r="H109" s="57"/>
      <c r="I109" s="57">
        <v>5.6</v>
      </c>
      <c r="J109" s="57"/>
      <c r="K109" s="57"/>
      <c r="L109" s="57" t="s">
        <v>153</v>
      </c>
      <c r="M109" s="57">
        <v>16</v>
      </c>
      <c r="O109" s="58"/>
    </row>
    <row r="110" spans="1:15" s="67" customFormat="1" ht="15" customHeight="1" x14ac:dyDescent="0.2">
      <c r="A110" s="55"/>
      <c r="B110" s="68" t="s">
        <v>368</v>
      </c>
      <c r="C110" s="56" t="s">
        <v>364</v>
      </c>
      <c r="D110" s="56" t="s">
        <v>159</v>
      </c>
      <c r="E110" s="57">
        <v>2</v>
      </c>
      <c r="F110" s="57"/>
      <c r="G110" s="57">
        <v>5.6</v>
      </c>
      <c r="H110" s="57"/>
      <c r="I110" s="57">
        <v>6.3</v>
      </c>
      <c r="J110" s="57"/>
      <c r="K110" s="57"/>
      <c r="L110" s="57" t="s">
        <v>153</v>
      </c>
      <c r="M110" s="57">
        <v>16</v>
      </c>
      <c r="O110" s="58"/>
    </row>
    <row r="111" spans="1:15" s="67" customFormat="1" ht="15" customHeight="1" x14ac:dyDescent="0.2">
      <c r="B111" s="68" t="s">
        <v>368</v>
      </c>
      <c r="C111" s="56" t="s">
        <v>364</v>
      </c>
      <c r="D111" s="56" t="s">
        <v>160</v>
      </c>
      <c r="E111" s="57">
        <v>2.5</v>
      </c>
      <c r="F111" s="57"/>
      <c r="G111" s="57">
        <v>6.3</v>
      </c>
      <c r="H111" s="57"/>
      <c r="I111" s="57">
        <v>7.5</v>
      </c>
      <c r="J111" s="57"/>
      <c r="K111" s="57"/>
      <c r="L111" s="57" t="s">
        <v>153</v>
      </c>
      <c r="M111" s="57">
        <v>16</v>
      </c>
      <c r="O111" s="58"/>
    </row>
    <row r="112" spans="1:15" s="67" customFormat="1" ht="15" customHeight="1" x14ac:dyDescent="0.2">
      <c r="B112" s="68" t="s">
        <v>368</v>
      </c>
      <c r="C112" s="56" t="s">
        <v>364</v>
      </c>
      <c r="D112" s="56" t="s">
        <v>161</v>
      </c>
      <c r="E112" s="57">
        <v>3</v>
      </c>
      <c r="F112" s="57"/>
      <c r="G112" s="57">
        <v>7.3</v>
      </c>
      <c r="H112" s="57"/>
      <c r="I112" s="57">
        <v>8</v>
      </c>
      <c r="J112" s="57"/>
      <c r="K112" s="57"/>
      <c r="L112" s="57" t="s">
        <v>153</v>
      </c>
      <c r="M112" s="57">
        <v>16</v>
      </c>
      <c r="O112" s="58"/>
    </row>
    <row r="113" spans="2:15" s="67" customFormat="1" ht="15" customHeight="1" x14ac:dyDescent="0.2">
      <c r="B113" s="68" t="s">
        <v>368</v>
      </c>
      <c r="C113" s="56" t="s">
        <v>364</v>
      </c>
      <c r="D113" s="56" t="s">
        <v>162</v>
      </c>
      <c r="E113" s="57">
        <v>3.2</v>
      </c>
      <c r="F113" s="57"/>
      <c r="G113" s="57">
        <v>8</v>
      </c>
      <c r="H113" s="57"/>
      <c r="I113" s="57">
        <v>9</v>
      </c>
      <c r="J113" s="57"/>
      <c r="K113" s="57"/>
      <c r="L113" s="57" t="s">
        <v>153</v>
      </c>
      <c r="M113" s="57">
        <v>16</v>
      </c>
      <c r="O113" s="58"/>
    </row>
    <row r="114" spans="2:15" s="67" customFormat="1" ht="15" customHeight="1" x14ac:dyDescent="0.2">
      <c r="B114" s="68" t="s">
        <v>368</v>
      </c>
      <c r="C114" s="56" t="s">
        <v>364</v>
      </c>
      <c r="D114" s="62" t="s">
        <v>163</v>
      </c>
      <c r="E114" s="57">
        <v>3.5</v>
      </c>
      <c r="F114" s="57"/>
      <c r="G114" s="63">
        <v>9</v>
      </c>
      <c r="H114" s="60"/>
      <c r="I114" s="64">
        <v>10.5</v>
      </c>
      <c r="J114" s="64"/>
      <c r="K114" s="64"/>
      <c r="L114" s="64" t="s">
        <v>153</v>
      </c>
      <c r="M114" s="64">
        <v>16</v>
      </c>
      <c r="O114" s="58"/>
    </row>
    <row r="115" spans="2:15" s="67" customFormat="1" ht="15" customHeight="1" x14ac:dyDescent="0.2">
      <c r="B115" s="68" t="s">
        <v>368</v>
      </c>
      <c r="C115" s="56" t="s">
        <v>364</v>
      </c>
      <c r="D115" s="62" t="s">
        <v>164</v>
      </c>
      <c r="E115" s="57">
        <v>3.7</v>
      </c>
      <c r="F115" s="57"/>
      <c r="G115" s="63">
        <v>10</v>
      </c>
      <c r="H115" s="60"/>
      <c r="I115" s="64">
        <v>11.2</v>
      </c>
      <c r="J115" s="64"/>
      <c r="K115" s="64"/>
      <c r="L115" s="64" t="s">
        <v>153</v>
      </c>
      <c r="M115" s="64">
        <v>16</v>
      </c>
      <c r="O115" s="58"/>
    </row>
    <row r="116" spans="2:15" s="67" customFormat="1" ht="15" customHeight="1" x14ac:dyDescent="0.2">
      <c r="B116" s="68" t="s">
        <v>368</v>
      </c>
      <c r="C116" s="56" t="s">
        <v>364</v>
      </c>
      <c r="D116" s="62" t="s">
        <v>165</v>
      </c>
      <c r="E116" s="57">
        <v>4.2</v>
      </c>
      <c r="F116" s="57"/>
      <c r="G116" s="63">
        <v>11.2</v>
      </c>
      <c r="H116" s="60"/>
      <c r="I116" s="64">
        <v>12.5</v>
      </c>
      <c r="J116" s="64"/>
      <c r="K116" s="64"/>
      <c r="L116" s="64" t="s">
        <v>153</v>
      </c>
      <c r="M116" s="64">
        <v>16</v>
      </c>
      <c r="O116" s="58"/>
    </row>
    <row r="117" spans="2:15" s="67" customFormat="1" ht="15" customHeight="1" x14ac:dyDescent="0.2">
      <c r="B117" s="68" t="s">
        <v>368</v>
      </c>
      <c r="C117" s="56" t="s">
        <v>364</v>
      </c>
      <c r="D117" s="62" t="s">
        <v>166</v>
      </c>
      <c r="E117" s="57">
        <v>5</v>
      </c>
      <c r="F117" s="57"/>
      <c r="G117" s="63">
        <v>12.5</v>
      </c>
      <c r="H117" s="60"/>
      <c r="I117" s="64">
        <v>14</v>
      </c>
      <c r="J117" s="64"/>
      <c r="K117" s="64"/>
      <c r="L117" s="64" t="s">
        <v>153</v>
      </c>
      <c r="M117" s="64">
        <v>16</v>
      </c>
      <c r="O117" s="58"/>
    </row>
    <row r="118" spans="2:15" s="67" customFormat="1" ht="15" customHeight="1" x14ac:dyDescent="0.2">
      <c r="B118" s="68" t="s">
        <v>368</v>
      </c>
      <c r="C118" s="56" t="s">
        <v>364</v>
      </c>
      <c r="D118" s="62" t="s">
        <v>167</v>
      </c>
      <c r="E118" s="57">
        <v>6</v>
      </c>
      <c r="F118" s="57"/>
      <c r="G118" s="63">
        <v>14</v>
      </c>
      <c r="H118" s="60"/>
      <c r="I118" s="64">
        <v>16</v>
      </c>
      <c r="J118" s="64"/>
      <c r="K118" s="64"/>
      <c r="L118" s="64" t="s">
        <v>153</v>
      </c>
      <c r="M118" s="64">
        <v>16</v>
      </c>
      <c r="O118" s="58"/>
    </row>
    <row r="119" spans="2:15" s="67" customFormat="1" ht="15" customHeight="1" x14ac:dyDescent="0.2">
      <c r="B119" s="68" t="s">
        <v>368</v>
      </c>
      <c r="C119" s="56" t="s">
        <v>364</v>
      </c>
      <c r="D119" s="62" t="s">
        <v>168</v>
      </c>
      <c r="E119" s="57">
        <v>6.7</v>
      </c>
      <c r="F119" s="57"/>
      <c r="G119" s="63">
        <v>16</v>
      </c>
      <c r="H119" s="60"/>
      <c r="I119" s="64">
        <v>18</v>
      </c>
      <c r="J119" s="64"/>
      <c r="K119" s="64"/>
      <c r="L119" s="64" t="s">
        <v>153</v>
      </c>
      <c r="M119" s="64">
        <v>16</v>
      </c>
      <c r="O119" s="58"/>
    </row>
    <row r="120" spans="2:15" s="67" customFormat="1" ht="15" customHeight="1" x14ac:dyDescent="0.2">
      <c r="B120" s="68" t="s">
        <v>368</v>
      </c>
      <c r="C120" s="56" t="s">
        <v>365</v>
      </c>
      <c r="D120" s="62" t="s">
        <v>169</v>
      </c>
      <c r="E120" s="57">
        <v>0.8</v>
      </c>
      <c r="F120" s="57"/>
      <c r="G120" s="63">
        <v>2.2000000000000002</v>
      </c>
      <c r="H120" s="60"/>
      <c r="I120" s="64">
        <v>2.5</v>
      </c>
      <c r="J120" s="64"/>
      <c r="K120" s="64"/>
      <c r="L120" s="64" t="s">
        <v>170</v>
      </c>
      <c r="M120" s="64">
        <v>16</v>
      </c>
      <c r="O120" s="58"/>
    </row>
    <row r="121" spans="2:15" s="67" customFormat="1" ht="15" customHeight="1" x14ac:dyDescent="0.2">
      <c r="B121" s="68" t="s">
        <v>368</v>
      </c>
      <c r="C121" s="56" t="s">
        <v>365</v>
      </c>
      <c r="D121" s="62" t="s">
        <v>171</v>
      </c>
      <c r="E121" s="57">
        <v>0.9</v>
      </c>
      <c r="F121" s="57"/>
      <c r="G121" s="63">
        <v>2.5</v>
      </c>
      <c r="H121" s="60"/>
      <c r="I121" s="64">
        <v>3</v>
      </c>
      <c r="J121" s="64"/>
      <c r="K121" s="64"/>
      <c r="L121" s="64" t="s">
        <v>170</v>
      </c>
      <c r="M121" s="64">
        <v>16</v>
      </c>
      <c r="O121" s="58"/>
    </row>
    <row r="122" spans="2:15" s="67" customFormat="1" ht="15" customHeight="1" x14ac:dyDescent="0.2">
      <c r="B122" s="68" t="s">
        <v>368</v>
      </c>
      <c r="C122" s="56" t="s">
        <v>365</v>
      </c>
      <c r="D122" s="62" t="s">
        <v>172</v>
      </c>
      <c r="E122" s="57">
        <v>1</v>
      </c>
      <c r="F122" s="57"/>
      <c r="G122" s="63">
        <v>2.8</v>
      </c>
      <c r="H122" s="60"/>
      <c r="I122" s="64">
        <v>3.2</v>
      </c>
      <c r="J122" s="64"/>
      <c r="K122" s="64"/>
      <c r="L122" s="64" t="s">
        <v>170</v>
      </c>
      <c r="M122" s="64">
        <v>16</v>
      </c>
      <c r="O122" s="58"/>
    </row>
    <row r="123" spans="2:15" s="67" customFormat="1" ht="15" customHeight="1" x14ac:dyDescent="0.2">
      <c r="B123" s="68" t="s">
        <v>368</v>
      </c>
      <c r="C123" s="56" t="s">
        <v>365</v>
      </c>
      <c r="D123" s="62" t="s">
        <v>173</v>
      </c>
      <c r="E123" s="57">
        <v>1.2</v>
      </c>
      <c r="F123" s="57"/>
      <c r="G123" s="63">
        <v>3.2</v>
      </c>
      <c r="H123" s="60"/>
      <c r="I123" s="64">
        <v>3.6</v>
      </c>
      <c r="J123" s="64"/>
      <c r="K123" s="64"/>
      <c r="L123" s="64" t="s">
        <v>170</v>
      </c>
      <c r="M123" s="64">
        <v>16</v>
      </c>
      <c r="O123" s="58"/>
    </row>
    <row r="124" spans="2:15" s="67" customFormat="1" ht="15" customHeight="1" x14ac:dyDescent="0.2">
      <c r="B124" s="68" t="s">
        <v>368</v>
      </c>
      <c r="C124" s="56" t="s">
        <v>365</v>
      </c>
      <c r="D124" s="62" t="s">
        <v>174</v>
      </c>
      <c r="E124" s="57">
        <v>1.5</v>
      </c>
      <c r="F124" s="57"/>
      <c r="G124" s="63">
        <v>3.6</v>
      </c>
      <c r="H124" s="60"/>
      <c r="I124" s="64">
        <v>4.2</v>
      </c>
      <c r="J124" s="64"/>
      <c r="K124" s="64"/>
      <c r="L124" s="64" t="s">
        <v>170</v>
      </c>
      <c r="M124" s="64">
        <v>16</v>
      </c>
      <c r="O124" s="58"/>
    </row>
    <row r="125" spans="2:15" s="67" customFormat="1" ht="15" customHeight="1" x14ac:dyDescent="0.2">
      <c r="B125" s="68" t="s">
        <v>368</v>
      </c>
      <c r="C125" s="56" t="s">
        <v>365</v>
      </c>
      <c r="D125" s="62" t="s">
        <v>175</v>
      </c>
      <c r="E125" s="57">
        <v>1.6</v>
      </c>
      <c r="F125" s="57"/>
      <c r="G125" s="63">
        <v>4</v>
      </c>
      <c r="H125" s="60"/>
      <c r="I125" s="64">
        <v>4.5</v>
      </c>
      <c r="J125" s="64"/>
      <c r="K125" s="64"/>
      <c r="L125" s="64" t="s">
        <v>170</v>
      </c>
      <c r="M125" s="64">
        <v>16</v>
      </c>
      <c r="O125" s="58"/>
    </row>
    <row r="126" spans="2:15" s="67" customFormat="1" ht="15" customHeight="1" x14ac:dyDescent="0.2">
      <c r="B126" s="68" t="s">
        <v>368</v>
      </c>
      <c r="C126" s="56" t="s">
        <v>365</v>
      </c>
      <c r="D126" s="62" t="s">
        <v>176</v>
      </c>
      <c r="E126" s="57">
        <v>1.7</v>
      </c>
      <c r="F126" s="57"/>
      <c r="G126" s="63">
        <v>4.3</v>
      </c>
      <c r="H126" s="60"/>
      <c r="I126" s="64">
        <v>4.9000000000000004</v>
      </c>
      <c r="J126" s="64"/>
      <c r="K126" s="64"/>
      <c r="L126" s="64" t="s">
        <v>170</v>
      </c>
      <c r="M126" s="64">
        <v>16</v>
      </c>
      <c r="O126" s="58"/>
    </row>
    <row r="127" spans="2:15" s="67" customFormat="1" ht="15" customHeight="1" x14ac:dyDescent="0.2">
      <c r="B127" s="68" t="s">
        <v>368</v>
      </c>
      <c r="C127" s="56" t="s">
        <v>365</v>
      </c>
      <c r="D127" s="62" t="s">
        <v>177</v>
      </c>
      <c r="E127" s="57">
        <v>1.8</v>
      </c>
      <c r="F127" s="57"/>
      <c r="G127" s="63">
        <v>4.5</v>
      </c>
      <c r="H127" s="60"/>
      <c r="I127" s="64">
        <v>5</v>
      </c>
      <c r="J127" s="64"/>
      <c r="K127" s="64"/>
      <c r="L127" s="64" t="s">
        <v>170</v>
      </c>
      <c r="M127" s="64">
        <v>16</v>
      </c>
      <c r="O127" s="58"/>
    </row>
    <row r="128" spans="2:15" s="67" customFormat="1" ht="15" customHeight="1" x14ac:dyDescent="0.2">
      <c r="B128" s="68" t="s">
        <v>368</v>
      </c>
      <c r="C128" s="56" t="s">
        <v>365</v>
      </c>
      <c r="D128" s="62" t="s">
        <v>178</v>
      </c>
      <c r="E128" s="57">
        <v>1.9</v>
      </c>
      <c r="F128" s="57"/>
      <c r="G128" s="63">
        <v>5</v>
      </c>
      <c r="H128" s="60"/>
      <c r="I128" s="64">
        <v>5.6</v>
      </c>
      <c r="J128" s="64"/>
      <c r="K128" s="64"/>
      <c r="L128" s="64" t="s">
        <v>170</v>
      </c>
      <c r="M128" s="64">
        <v>16</v>
      </c>
      <c r="O128" s="58"/>
    </row>
    <row r="129" spans="2:15" s="67" customFormat="1" ht="15" customHeight="1" x14ac:dyDescent="0.2">
      <c r="B129" s="68" t="s">
        <v>368</v>
      </c>
      <c r="C129" s="56" t="s">
        <v>365</v>
      </c>
      <c r="D129" s="62" t="s">
        <v>179</v>
      </c>
      <c r="E129" s="57">
        <v>2</v>
      </c>
      <c r="F129" s="57"/>
      <c r="G129" s="63">
        <v>5.6</v>
      </c>
      <c r="H129" s="60"/>
      <c r="I129" s="64">
        <v>6.3</v>
      </c>
      <c r="J129" s="64"/>
      <c r="K129" s="64"/>
      <c r="L129" s="64" t="s">
        <v>170</v>
      </c>
      <c r="M129" s="64">
        <v>16</v>
      </c>
      <c r="O129" s="58"/>
    </row>
    <row r="130" spans="2:15" s="67" customFormat="1" ht="15" customHeight="1" x14ac:dyDescent="0.2">
      <c r="B130" s="68" t="s">
        <v>368</v>
      </c>
      <c r="C130" s="56" t="s">
        <v>365</v>
      </c>
      <c r="D130" s="62" t="s">
        <v>180</v>
      </c>
      <c r="E130" s="57">
        <v>2.5</v>
      </c>
      <c r="F130" s="57"/>
      <c r="G130" s="63">
        <v>6.3</v>
      </c>
      <c r="H130" s="60"/>
      <c r="I130" s="64">
        <v>7.5</v>
      </c>
      <c r="J130" s="64"/>
      <c r="K130" s="64"/>
      <c r="L130" s="64" t="s">
        <v>170</v>
      </c>
      <c r="M130" s="64">
        <v>16</v>
      </c>
      <c r="O130" s="58"/>
    </row>
    <row r="131" spans="2:15" s="67" customFormat="1" ht="15" customHeight="1" x14ac:dyDescent="0.2">
      <c r="B131" s="68" t="s">
        <v>368</v>
      </c>
      <c r="C131" s="56" t="s">
        <v>365</v>
      </c>
      <c r="D131" s="62" t="s">
        <v>181</v>
      </c>
      <c r="E131" s="57">
        <v>3</v>
      </c>
      <c r="F131" s="57"/>
      <c r="G131" s="63">
        <v>7.3</v>
      </c>
      <c r="H131" s="60"/>
      <c r="I131" s="64">
        <v>8</v>
      </c>
      <c r="J131" s="64"/>
      <c r="K131" s="64"/>
      <c r="L131" s="64" t="s">
        <v>170</v>
      </c>
      <c r="M131" s="64">
        <v>16</v>
      </c>
      <c r="O131" s="58"/>
    </row>
    <row r="132" spans="2:15" s="67" customFormat="1" ht="15" customHeight="1" x14ac:dyDescent="0.2">
      <c r="B132" s="68" t="s">
        <v>368</v>
      </c>
      <c r="C132" s="56" t="s">
        <v>365</v>
      </c>
      <c r="D132" s="62" t="s">
        <v>182</v>
      </c>
      <c r="E132" s="57">
        <v>3.2</v>
      </c>
      <c r="F132" s="57"/>
      <c r="G132" s="63">
        <v>8</v>
      </c>
      <c r="H132" s="60"/>
      <c r="I132" s="64">
        <v>9</v>
      </c>
      <c r="J132" s="64"/>
      <c r="K132" s="64"/>
      <c r="L132" s="64" t="s">
        <v>170</v>
      </c>
      <c r="M132" s="64">
        <v>16</v>
      </c>
      <c r="O132" s="58"/>
    </row>
    <row r="133" spans="2:15" s="67" customFormat="1" ht="15" customHeight="1" x14ac:dyDescent="0.2">
      <c r="B133" s="68" t="s">
        <v>368</v>
      </c>
      <c r="C133" s="56" t="s">
        <v>365</v>
      </c>
      <c r="D133" s="62" t="s">
        <v>183</v>
      </c>
      <c r="E133" s="57">
        <v>3.5</v>
      </c>
      <c r="F133" s="57"/>
      <c r="G133" s="63">
        <v>9</v>
      </c>
      <c r="H133" s="60"/>
      <c r="I133" s="64">
        <v>10.5</v>
      </c>
      <c r="J133" s="60"/>
      <c r="K133" s="57"/>
      <c r="L133" s="65" t="s">
        <v>170</v>
      </c>
      <c r="M133" s="66">
        <v>16</v>
      </c>
      <c r="O133" s="58"/>
    </row>
    <row r="134" spans="2:15" s="67" customFormat="1" ht="15" customHeight="1" x14ac:dyDescent="0.2">
      <c r="B134" s="68" t="s">
        <v>368</v>
      </c>
      <c r="C134" s="56" t="s">
        <v>365</v>
      </c>
      <c r="D134" s="62" t="s">
        <v>184</v>
      </c>
      <c r="E134" s="57">
        <v>3.6</v>
      </c>
      <c r="F134" s="57"/>
      <c r="G134" s="63">
        <v>9.3000000000000007</v>
      </c>
      <c r="H134" s="60"/>
      <c r="I134" s="64">
        <v>10.7</v>
      </c>
      <c r="J134" s="60"/>
      <c r="K134" s="57"/>
      <c r="L134" s="65" t="s">
        <v>170</v>
      </c>
      <c r="M134" s="66">
        <v>16</v>
      </c>
      <c r="O134" s="58"/>
    </row>
    <row r="135" spans="2:15" s="67" customFormat="1" ht="15" customHeight="1" x14ac:dyDescent="0.2">
      <c r="B135" s="68" t="s">
        <v>368</v>
      </c>
      <c r="C135" s="56" t="s">
        <v>365</v>
      </c>
      <c r="D135" s="62" t="s">
        <v>185</v>
      </c>
      <c r="E135" s="57">
        <v>3.7</v>
      </c>
      <c r="F135" s="57"/>
      <c r="G135" s="63">
        <v>10</v>
      </c>
      <c r="H135" s="60"/>
      <c r="I135" s="64">
        <v>11.2</v>
      </c>
      <c r="J135" s="60"/>
      <c r="K135" s="57"/>
      <c r="L135" s="65" t="s">
        <v>170</v>
      </c>
      <c r="M135" s="66">
        <v>16</v>
      </c>
      <c r="O135" s="58"/>
    </row>
    <row r="136" spans="2:15" s="67" customFormat="1" ht="15" customHeight="1" x14ac:dyDescent="0.2">
      <c r="B136" s="68" t="s">
        <v>368</v>
      </c>
      <c r="C136" s="56" t="s">
        <v>365</v>
      </c>
      <c r="D136" s="62" t="s">
        <v>186</v>
      </c>
      <c r="E136" s="57">
        <v>4</v>
      </c>
      <c r="F136" s="57"/>
      <c r="G136" s="63">
        <v>10.6</v>
      </c>
      <c r="H136" s="60"/>
      <c r="I136" s="64">
        <v>11.4</v>
      </c>
      <c r="J136" s="60"/>
      <c r="K136" s="57"/>
      <c r="L136" s="65" t="s">
        <v>170</v>
      </c>
      <c r="M136" s="66">
        <v>16</v>
      </c>
      <c r="O136" s="58"/>
    </row>
    <row r="137" spans="2:15" s="67" customFormat="1" ht="15" customHeight="1" x14ac:dyDescent="0.2">
      <c r="B137" s="68" t="s">
        <v>368</v>
      </c>
      <c r="C137" s="56" t="s">
        <v>365</v>
      </c>
      <c r="D137" s="62" t="s">
        <v>187</v>
      </c>
      <c r="E137" s="57">
        <v>4.2</v>
      </c>
      <c r="F137" s="57"/>
      <c r="G137" s="63">
        <v>11.2</v>
      </c>
      <c r="H137" s="60"/>
      <c r="I137" s="64">
        <v>12.5</v>
      </c>
      <c r="J137" s="60"/>
      <c r="K137" s="57"/>
      <c r="L137" s="65" t="s">
        <v>170</v>
      </c>
      <c r="M137" s="66">
        <v>16</v>
      </c>
      <c r="O137" s="58"/>
    </row>
    <row r="138" spans="2:15" s="67" customFormat="1" ht="15" customHeight="1" x14ac:dyDescent="0.2">
      <c r="B138" s="68" t="s">
        <v>368</v>
      </c>
      <c r="C138" s="56" t="s">
        <v>365</v>
      </c>
      <c r="D138" s="62" t="s">
        <v>188</v>
      </c>
      <c r="E138" s="57">
        <v>5</v>
      </c>
      <c r="F138" s="57"/>
      <c r="G138" s="63">
        <v>12.5</v>
      </c>
      <c r="H138" s="60"/>
      <c r="I138" s="64">
        <v>14</v>
      </c>
      <c r="J138" s="60"/>
      <c r="K138" s="57"/>
      <c r="L138" s="65" t="s">
        <v>170</v>
      </c>
      <c r="M138" s="66">
        <v>16</v>
      </c>
      <c r="O138" s="58"/>
    </row>
    <row r="139" spans="2:15" s="67" customFormat="1" ht="15" customHeight="1" x14ac:dyDescent="0.2">
      <c r="B139" s="68" t="s">
        <v>368</v>
      </c>
      <c r="C139" s="56" t="s">
        <v>365</v>
      </c>
      <c r="D139" s="62" t="s">
        <v>189</v>
      </c>
      <c r="E139" s="57">
        <v>6</v>
      </c>
      <c r="F139" s="57"/>
      <c r="G139" s="63">
        <v>14</v>
      </c>
      <c r="H139" s="60"/>
      <c r="I139" s="64">
        <v>16</v>
      </c>
      <c r="J139" s="60"/>
      <c r="K139" s="57"/>
      <c r="L139" s="65" t="s">
        <v>170</v>
      </c>
      <c r="M139" s="66">
        <v>16</v>
      </c>
      <c r="O139" s="58"/>
    </row>
    <row r="140" spans="2:15" s="67" customFormat="1" ht="15" customHeight="1" x14ac:dyDescent="0.2">
      <c r="B140" s="68" t="s">
        <v>368</v>
      </c>
      <c r="C140" s="56" t="s">
        <v>365</v>
      </c>
      <c r="D140" s="62" t="s">
        <v>190</v>
      </c>
      <c r="E140" s="57">
        <v>6.7</v>
      </c>
      <c r="F140" s="57"/>
      <c r="G140" s="63">
        <v>16</v>
      </c>
      <c r="H140" s="60"/>
      <c r="I140" s="64">
        <v>18</v>
      </c>
      <c r="J140" s="60"/>
      <c r="K140" s="57"/>
      <c r="L140" s="65" t="s">
        <v>170</v>
      </c>
      <c r="M140" s="66">
        <v>16</v>
      </c>
      <c r="O140" s="58"/>
    </row>
    <row r="141" spans="2:15" s="67" customFormat="1" ht="15" customHeight="1" x14ac:dyDescent="0.2">
      <c r="B141" s="68" t="s">
        <v>368</v>
      </c>
      <c r="C141" s="56" t="s">
        <v>191</v>
      </c>
      <c r="D141" s="62" t="s">
        <v>192</v>
      </c>
      <c r="E141" s="57">
        <v>0.8</v>
      </c>
      <c r="F141" s="57"/>
      <c r="G141" s="63">
        <v>2.2000000000000002</v>
      </c>
      <c r="H141" s="60"/>
      <c r="I141" s="64">
        <v>2.5</v>
      </c>
      <c r="J141" s="60"/>
      <c r="K141" s="57"/>
      <c r="L141" s="65" t="s">
        <v>193</v>
      </c>
      <c r="M141" s="66">
        <v>16</v>
      </c>
      <c r="O141" s="58"/>
    </row>
    <row r="142" spans="2:15" s="67" customFormat="1" ht="15" customHeight="1" x14ac:dyDescent="0.2">
      <c r="B142" s="68" t="s">
        <v>368</v>
      </c>
      <c r="C142" s="56" t="s">
        <v>191</v>
      </c>
      <c r="D142" s="62" t="s">
        <v>194</v>
      </c>
      <c r="E142" s="57">
        <v>1</v>
      </c>
      <c r="F142" s="57"/>
      <c r="G142" s="63">
        <v>2.8</v>
      </c>
      <c r="H142" s="60"/>
      <c r="I142" s="64">
        <v>3.2</v>
      </c>
      <c r="J142" s="60"/>
      <c r="K142" s="57"/>
      <c r="L142" s="65" t="s">
        <v>193</v>
      </c>
      <c r="M142" s="66">
        <v>16</v>
      </c>
      <c r="O142" s="58"/>
    </row>
    <row r="143" spans="2:15" s="67" customFormat="1" ht="15" customHeight="1" x14ac:dyDescent="0.2">
      <c r="B143" s="68" t="s">
        <v>368</v>
      </c>
      <c r="C143" s="56" t="s">
        <v>191</v>
      </c>
      <c r="D143" s="62" t="s">
        <v>195</v>
      </c>
      <c r="E143" s="57">
        <v>1.5</v>
      </c>
      <c r="F143" s="57"/>
      <c r="G143" s="63">
        <v>3.6</v>
      </c>
      <c r="H143" s="60"/>
      <c r="I143" s="64">
        <v>4.2</v>
      </c>
      <c r="J143" s="60"/>
      <c r="K143" s="57"/>
      <c r="L143" s="65" t="s">
        <v>193</v>
      </c>
      <c r="M143" s="66">
        <v>16</v>
      </c>
      <c r="O143" s="58"/>
    </row>
    <row r="144" spans="2:15" s="67" customFormat="1" ht="15" customHeight="1" x14ac:dyDescent="0.2">
      <c r="B144" s="68" t="s">
        <v>368</v>
      </c>
      <c r="C144" s="56" t="s">
        <v>191</v>
      </c>
      <c r="D144" s="62" t="s">
        <v>196</v>
      </c>
      <c r="E144" s="57">
        <v>1.6</v>
      </c>
      <c r="F144" s="57"/>
      <c r="G144" s="63">
        <v>4</v>
      </c>
      <c r="H144" s="60"/>
      <c r="I144" s="64">
        <v>4.5</v>
      </c>
      <c r="J144" s="60"/>
      <c r="K144" s="57"/>
      <c r="L144" s="65" t="s">
        <v>193</v>
      </c>
      <c r="M144" s="66">
        <v>16</v>
      </c>
      <c r="O144" s="58"/>
    </row>
    <row r="145" spans="1:15" s="67" customFormat="1" ht="15" customHeight="1" x14ac:dyDescent="0.2">
      <c r="B145" s="68" t="s">
        <v>368</v>
      </c>
      <c r="C145" s="56" t="s">
        <v>191</v>
      </c>
      <c r="D145" s="62" t="s">
        <v>197</v>
      </c>
      <c r="E145" s="57">
        <v>1.8</v>
      </c>
      <c r="F145" s="57"/>
      <c r="G145" s="63">
        <v>4.5</v>
      </c>
      <c r="H145" s="60"/>
      <c r="I145" s="64">
        <v>5</v>
      </c>
      <c r="J145" s="60"/>
      <c r="K145" s="57"/>
      <c r="L145" s="65" t="s">
        <v>193</v>
      </c>
      <c r="M145" s="66">
        <v>16</v>
      </c>
      <c r="O145" s="58"/>
    </row>
    <row r="146" spans="1:15" s="67" customFormat="1" ht="15" customHeight="1" x14ac:dyDescent="0.2">
      <c r="B146" s="68" t="s">
        <v>368</v>
      </c>
      <c r="C146" s="56" t="s">
        <v>191</v>
      </c>
      <c r="D146" s="62" t="s">
        <v>198</v>
      </c>
      <c r="E146" s="57">
        <v>1.9</v>
      </c>
      <c r="F146" s="57"/>
      <c r="G146" s="63">
        <v>5</v>
      </c>
      <c r="H146" s="60"/>
      <c r="I146" s="64">
        <v>5.6</v>
      </c>
      <c r="J146" s="60"/>
      <c r="K146" s="57"/>
      <c r="L146" s="65" t="s">
        <v>193</v>
      </c>
      <c r="M146" s="66">
        <v>16</v>
      </c>
      <c r="O146" s="58"/>
    </row>
    <row r="147" spans="1:15" s="67" customFormat="1" ht="15" customHeight="1" x14ac:dyDescent="0.2">
      <c r="B147" s="68" t="s">
        <v>368</v>
      </c>
      <c r="C147" s="56" t="s">
        <v>191</v>
      </c>
      <c r="D147" s="62" t="s">
        <v>199</v>
      </c>
      <c r="E147" s="57">
        <v>2</v>
      </c>
      <c r="F147" s="57"/>
      <c r="G147" s="63">
        <v>5.6</v>
      </c>
      <c r="H147" s="60"/>
      <c r="I147" s="64">
        <v>6.3</v>
      </c>
      <c r="J147" s="60"/>
      <c r="K147" s="57"/>
      <c r="L147" s="65" t="s">
        <v>193</v>
      </c>
      <c r="M147" s="66">
        <v>16</v>
      </c>
      <c r="O147" s="58"/>
    </row>
    <row r="148" spans="1:15" s="67" customFormat="1" ht="15" customHeight="1" x14ac:dyDescent="0.2">
      <c r="B148" s="68" t="s">
        <v>368</v>
      </c>
      <c r="C148" s="56" t="s">
        <v>191</v>
      </c>
      <c r="D148" s="62" t="s">
        <v>200</v>
      </c>
      <c r="E148" s="57">
        <v>2.5</v>
      </c>
      <c r="F148" s="57"/>
      <c r="G148" s="63">
        <v>6.3</v>
      </c>
      <c r="H148" s="60"/>
      <c r="I148" s="64">
        <v>7.5</v>
      </c>
      <c r="J148" s="60"/>
      <c r="K148" s="57"/>
      <c r="L148" s="65" t="s">
        <v>193</v>
      </c>
      <c r="M148" s="66">
        <v>16</v>
      </c>
      <c r="O148" s="58"/>
    </row>
    <row r="149" spans="1:15" s="67" customFormat="1" ht="15" customHeight="1" x14ac:dyDescent="0.2">
      <c r="B149" s="68" t="s">
        <v>368</v>
      </c>
      <c r="C149" s="56" t="s">
        <v>191</v>
      </c>
      <c r="D149" s="62" t="s">
        <v>201</v>
      </c>
      <c r="E149" s="57">
        <v>3</v>
      </c>
      <c r="F149" s="57"/>
      <c r="G149" s="63">
        <v>7.3</v>
      </c>
      <c r="H149" s="60"/>
      <c r="I149" s="64">
        <v>8</v>
      </c>
      <c r="J149" s="60"/>
      <c r="K149" s="57"/>
      <c r="L149" s="65" t="s">
        <v>193</v>
      </c>
      <c r="M149" s="66">
        <v>16</v>
      </c>
      <c r="O149" s="58"/>
    </row>
    <row r="150" spans="1:15" s="67" customFormat="1" ht="15" customHeight="1" x14ac:dyDescent="0.2">
      <c r="B150" s="68" t="s">
        <v>368</v>
      </c>
      <c r="C150" s="56" t="s">
        <v>191</v>
      </c>
      <c r="D150" s="62" t="s">
        <v>202</v>
      </c>
      <c r="E150" s="57">
        <v>3.2</v>
      </c>
      <c r="F150" s="57"/>
      <c r="G150" s="63">
        <v>8</v>
      </c>
      <c r="H150" s="60"/>
      <c r="I150" s="64">
        <v>9</v>
      </c>
      <c r="J150" s="60"/>
      <c r="K150" s="57"/>
      <c r="L150" s="65" t="s">
        <v>193</v>
      </c>
      <c r="M150" s="66">
        <v>16</v>
      </c>
      <c r="O150" s="58"/>
    </row>
    <row r="151" spans="1:15" s="67" customFormat="1" ht="15" customHeight="1" x14ac:dyDescent="0.2">
      <c r="B151" s="68" t="s">
        <v>368</v>
      </c>
      <c r="C151" s="56" t="s">
        <v>191</v>
      </c>
      <c r="D151" s="62" t="s">
        <v>203</v>
      </c>
      <c r="E151" s="57">
        <v>3.5</v>
      </c>
      <c r="F151" s="57"/>
      <c r="G151" s="63">
        <v>9</v>
      </c>
      <c r="H151" s="60"/>
      <c r="I151" s="64">
        <v>10.5</v>
      </c>
      <c r="J151" s="60"/>
      <c r="K151" s="57"/>
      <c r="L151" s="65" t="s">
        <v>193</v>
      </c>
      <c r="M151" s="66">
        <v>16</v>
      </c>
      <c r="O151" s="58"/>
    </row>
    <row r="152" spans="1:15" s="67" customFormat="1" ht="15" customHeight="1" x14ac:dyDescent="0.2">
      <c r="B152" s="68" t="s">
        <v>368</v>
      </c>
      <c r="C152" s="56" t="s">
        <v>191</v>
      </c>
      <c r="D152" s="62" t="s">
        <v>204</v>
      </c>
      <c r="E152" s="57">
        <v>3.7</v>
      </c>
      <c r="F152" s="57"/>
      <c r="G152" s="63">
        <v>10</v>
      </c>
      <c r="H152" s="60"/>
      <c r="I152" s="64">
        <v>11.2</v>
      </c>
      <c r="J152" s="60"/>
      <c r="K152" s="57"/>
      <c r="L152" s="65" t="s">
        <v>193</v>
      </c>
      <c r="M152" s="66">
        <v>16</v>
      </c>
      <c r="O152" s="58"/>
    </row>
    <row r="153" spans="1:15" s="67" customFormat="1" ht="15" customHeight="1" x14ac:dyDescent="0.2">
      <c r="B153" s="68" t="s">
        <v>368</v>
      </c>
      <c r="C153" s="56" t="s">
        <v>191</v>
      </c>
      <c r="D153" s="62" t="s">
        <v>205</v>
      </c>
      <c r="E153" s="57">
        <v>4.2</v>
      </c>
      <c r="F153" s="57"/>
      <c r="G153" s="63">
        <v>11.2</v>
      </c>
      <c r="H153" s="60"/>
      <c r="I153" s="64">
        <v>12.5</v>
      </c>
      <c r="J153" s="60"/>
      <c r="K153" s="57"/>
      <c r="L153" s="65" t="s">
        <v>193</v>
      </c>
      <c r="M153" s="66">
        <v>16</v>
      </c>
      <c r="O153" s="58"/>
    </row>
    <row r="154" spans="1:15" s="67" customFormat="1" ht="15" customHeight="1" x14ac:dyDescent="0.2">
      <c r="B154" s="68" t="s">
        <v>368</v>
      </c>
      <c r="C154" s="56" t="s">
        <v>191</v>
      </c>
      <c r="D154" s="62" t="s">
        <v>206</v>
      </c>
      <c r="E154" s="57">
        <v>5</v>
      </c>
      <c r="F154" s="57"/>
      <c r="G154" s="63">
        <v>12.5</v>
      </c>
      <c r="H154" s="60"/>
      <c r="I154" s="64">
        <v>14</v>
      </c>
      <c r="J154" s="60"/>
      <c r="K154" s="57"/>
      <c r="L154" s="65" t="s">
        <v>193</v>
      </c>
      <c r="M154" s="66">
        <v>16</v>
      </c>
      <c r="O154" s="58"/>
    </row>
    <row r="155" spans="1:15" s="67" customFormat="1" ht="15" customHeight="1" x14ac:dyDescent="0.2">
      <c r="B155" s="68" t="s">
        <v>368</v>
      </c>
      <c r="C155" s="56" t="s">
        <v>191</v>
      </c>
      <c r="D155" s="62" t="s">
        <v>207</v>
      </c>
      <c r="E155" s="57">
        <v>6</v>
      </c>
      <c r="F155" s="57"/>
      <c r="G155" s="63">
        <v>14</v>
      </c>
      <c r="H155" s="60"/>
      <c r="I155" s="64">
        <v>16</v>
      </c>
      <c r="J155" s="60"/>
      <c r="K155" s="57"/>
      <c r="L155" s="65" t="s">
        <v>193</v>
      </c>
      <c r="M155" s="66">
        <v>16</v>
      </c>
      <c r="O155" s="58"/>
    </row>
    <row r="156" spans="1:15" s="67" customFormat="1" ht="15" customHeight="1" x14ac:dyDescent="0.2">
      <c r="B156" s="68" t="s">
        <v>368</v>
      </c>
      <c r="C156" s="56" t="s">
        <v>191</v>
      </c>
      <c r="D156" s="62" t="s">
        <v>208</v>
      </c>
      <c r="E156" s="57">
        <v>6.7</v>
      </c>
      <c r="F156" s="57"/>
      <c r="G156" s="63">
        <v>16</v>
      </c>
      <c r="H156" s="60"/>
      <c r="I156" s="64">
        <v>18</v>
      </c>
      <c r="J156" s="60"/>
      <c r="K156" s="57"/>
      <c r="L156" s="65" t="s">
        <v>193</v>
      </c>
      <c r="M156" s="66">
        <v>16</v>
      </c>
      <c r="O156" s="58"/>
    </row>
    <row r="157" spans="1:15" s="67" customFormat="1" ht="15" customHeight="1" x14ac:dyDescent="0.2">
      <c r="A157" s="55" t="s">
        <v>386</v>
      </c>
      <c r="B157" s="55"/>
      <c r="C157" s="56"/>
      <c r="D157" s="56"/>
      <c r="E157" s="57"/>
      <c r="F157" s="57"/>
      <c r="G157" s="63"/>
      <c r="H157" s="69"/>
      <c r="I157" s="64"/>
      <c r="J157" s="69"/>
      <c r="K157" s="70"/>
      <c r="L157" s="57"/>
      <c r="M157" s="71"/>
      <c r="N157" s="55"/>
      <c r="O157" s="58"/>
    </row>
    <row r="158" spans="1:15" s="125" customFormat="1" ht="15" customHeight="1" x14ac:dyDescent="0.2">
      <c r="B158" s="125" t="s">
        <v>210</v>
      </c>
      <c r="C158" s="126" t="s">
        <v>384</v>
      </c>
      <c r="D158" s="126" t="s">
        <v>377</v>
      </c>
      <c r="E158" s="127">
        <v>3</v>
      </c>
      <c r="F158" s="127" t="s">
        <v>96</v>
      </c>
      <c r="G158" s="128">
        <v>8.4</v>
      </c>
      <c r="H158" s="129"/>
      <c r="I158" s="130"/>
      <c r="J158" s="129"/>
      <c r="K158" s="131" t="s">
        <v>421</v>
      </c>
      <c r="L158" s="127" t="s">
        <v>210</v>
      </c>
      <c r="M158" s="132">
        <v>35</v>
      </c>
      <c r="N158" s="125" t="s">
        <v>211</v>
      </c>
      <c r="O158" s="133">
        <v>15152</v>
      </c>
    </row>
    <row r="159" spans="1:15" s="125" customFormat="1" ht="15" customHeight="1" x14ac:dyDescent="0.2">
      <c r="B159" s="125" t="s">
        <v>210</v>
      </c>
      <c r="C159" s="126" t="s">
        <v>384</v>
      </c>
      <c r="D159" s="126" t="s">
        <v>209</v>
      </c>
      <c r="E159" s="127">
        <v>4</v>
      </c>
      <c r="F159" s="127" t="s">
        <v>96</v>
      </c>
      <c r="G159" s="128">
        <v>11.2</v>
      </c>
      <c r="H159" s="129"/>
      <c r="I159" s="130"/>
      <c r="J159" s="129"/>
      <c r="K159" s="131" t="s">
        <v>422</v>
      </c>
      <c r="L159" s="127" t="s">
        <v>210</v>
      </c>
      <c r="M159" s="132">
        <v>35</v>
      </c>
      <c r="N159" s="125" t="s">
        <v>235</v>
      </c>
      <c r="O159" s="133">
        <v>17585</v>
      </c>
    </row>
    <row r="160" spans="1:15" s="125" customFormat="1" ht="15" customHeight="1" x14ac:dyDescent="0.2">
      <c r="B160" s="125" t="s">
        <v>210</v>
      </c>
      <c r="C160" s="126" t="s">
        <v>384</v>
      </c>
      <c r="D160" s="126" t="s">
        <v>212</v>
      </c>
      <c r="E160" s="127">
        <v>5</v>
      </c>
      <c r="F160" s="127" t="s">
        <v>96</v>
      </c>
      <c r="G160" s="128">
        <v>14</v>
      </c>
      <c r="H160" s="129"/>
      <c r="I160" s="130"/>
      <c r="J160" s="129"/>
      <c r="K160" s="131" t="s">
        <v>422</v>
      </c>
      <c r="L160" s="127" t="s">
        <v>210</v>
      </c>
      <c r="M160" s="132">
        <v>35</v>
      </c>
      <c r="N160" s="125" t="s">
        <v>235</v>
      </c>
      <c r="O160" s="133">
        <v>20385</v>
      </c>
    </row>
    <row r="161" spans="2:15" s="125" customFormat="1" ht="15" customHeight="1" x14ac:dyDescent="0.2">
      <c r="B161" s="125" t="s">
        <v>210</v>
      </c>
      <c r="C161" s="126" t="s">
        <v>384</v>
      </c>
      <c r="D161" s="126" t="s">
        <v>213</v>
      </c>
      <c r="E161" s="127">
        <v>6</v>
      </c>
      <c r="F161" s="127" t="s">
        <v>96</v>
      </c>
      <c r="G161" s="128">
        <v>15.6</v>
      </c>
      <c r="H161" s="129"/>
      <c r="I161" s="130"/>
      <c r="J161" s="129"/>
      <c r="K161" s="131" t="s">
        <v>422</v>
      </c>
      <c r="L161" s="127" t="s">
        <v>210</v>
      </c>
      <c r="M161" s="132">
        <v>35</v>
      </c>
      <c r="N161" s="125" t="s">
        <v>235</v>
      </c>
      <c r="O161" s="133">
        <v>22036</v>
      </c>
    </row>
    <row r="162" spans="2:15" s="125" customFormat="1" ht="15" customHeight="1" x14ac:dyDescent="0.2">
      <c r="B162" s="125" t="s">
        <v>210</v>
      </c>
      <c r="C162" s="126" t="s">
        <v>384</v>
      </c>
      <c r="D162" s="126" t="s">
        <v>369</v>
      </c>
      <c r="E162" s="127">
        <v>6.5</v>
      </c>
      <c r="F162" s="127" t="s">
        <v>96</v>
      </c>
      <c r="G162" s="128">
        <v>18</v>
      </c>
      <c r="H162" s="129"/>
      <c r="I162" s="130"/>
      <c r="J162" s="129"/>
      <c r="K162" s="131" t="s">
        <v>423</v>
      </c>
      <c r="L162" s="127" t="s">
        <v>210</v>
      </c>
      <c r="M162" s="132">
        <v>35</v>
      </c>
      <c r="N162" s="125" t="s">
        <v>235</v>
      </c>
      <c r="O162" s="133">
        <v>26452</v>
      </c>
    </row>
    <row r="163" spans="2:15" s="125" customFormat="1" ht="15" customHeight="1" x14ac:dyDescent="0.2">
      <c r="B163" s="125" t="s">
        <v>210</v>
      </c>
      <c r="C163" s="126" t="s">
        <v>384</v>
      </c>
      <c r="D163" s="126" t="s">
        <v>370</v>
      </c>
      <c r="E163" s="127">
        <v>7</v>
      </c>
      <c r="F163" s="127" t="s">
        <v>96</v>
      </c>
      <c r="G163" s="128">
        <v>20</v>
      </c>
      <c r="H163" s="129"/>
      <c r="I163" s="130"/>
      <c r="J163" s="129"/>
      <c r="K163" s="131" t="s">
        <v>423</v>
      </c>
      <c r="L163" s="127" t="s">
        <v>210</v>
      </c>
      <c r="M163" s="132">
        <v>35</v>
      </c>
      <c r="N163" s="125" t="s">
        <v>235</v>
      </c>
      <c r="O163" s="133">
        <v>28711</v>
      </c>
    </row>
    <row r="164" spans="2:15" s="125" customFormat="1" ht="15" customHeight="1" x14ac:dyDescent="0.2">
      <c r="B164" s="125" t="s">
        <v>210</v>
      </c>
      <c r="C164" s="126" t="s">
        <v>384</v>
      </c>
      <c r="D164" s="126" t="s">
        <v>371</v>
      </c>
      <c r="E164" s="127">
        <v>8</v>
      </c>
      <c r="F164" s="127" t="s">
        <v>96</v>
      </c>
      <c r="G164" s="128">
        <v>22.4</v>
      </c>
      <c r="H164" s="129"/>
      <c r="I164" s="130"/>
      <c r="J164" s="129"/>
      <c r="K164" s="131" t="s">
        <v>423</v>
      </c>
      <c r="L164" s="127" t="s">
        <v>210</v>
      </c>
      <c r="M164" s="132">
        <v>35</v>
      </c>
      <c r="N164" s="125" t="s">
        <v>235</v>
      </c>
      <c r="O164" s="133">
        <v>32458</v>
      </c>
    </row>
    <row r="165" spans="2:15" s="125" customFormat="1" ht="15" customHeight="1" x14ac:dyDescent="0.2">
      <c r="B165" s="125" t="s">
        <v>210</v>
      </c>
      <c r="C165" s="126" t="s">
        <v>384</v>
      </c>
      <c r="D165" s="126" t="s">
        <v>372</v>
      </c>
      <c r="E165" s="127">
        <v>9</v>
      </c>
      <c r="F165" s="127" t="s">
        <v>241</v>
      </c>
      <c r="G165" s="128">
        <v>25.2</v>
      </c>
      <c r="H165" s="129"/>
      <c r="I165" s="130"/>
      <c r="J165" s="129"/>
      <c r="K165" s="131" t="s">
        <v>423</v>
      </c>
      <c r="L165" s="127" t="s">
        <v>210</v>
      </c>
      <c r="M165" s="132">
        <v>35</v>
      </c>
      <c r="N165" s="125" t="s">
        <v>242</v>
      </c>
      <c r="O165" s="133">
        <v>34002</v>
      </c>
    </row>
    <row r="166" spans="2:15" s="125" customFormat="1" ht="15" customHeight="1" x14ac:dyDescent="0.2">
      <c r="B166" s="125" t="s">
        <v>210</v>
      </c>
      <c r="C166" s="126" t="s">
        <v>384</v>
      </c>
      <c r="D166" s="126" t="s">
        <v>373</v>
      </c>
      <c r="E166" s="127">
        <v>10</v>
      </c>
      <c r="F166" s="127" t="s">
        <v>241</v>
      </c>
      <c r="G166" s="128">
        <v>28.2</v>
      </c>
      <c r="H166" s="129"/>
      <c r="I166" s="130"/>
      <c r="J166" s="129"/>
      <c r="K166" s="131" t="s">
        <v>423</v>
      </c>
      <c r="L166" s="127" t="s">
        <v>210</v>
      </c>
      <c r="M166" s="132">
        <v>35</v>
      </c>
      <c r="N166" s="125" t="s">
        <v>242</v>
      </c>
      <c r="O166" s="133">
        <v>36597</v>
      </c>
    </row>
    <row r="167" spans="2:15" s="125" customFormat="1" ht="15" customHeight="1" x14ac:dyDescent="0.2">
      <c r="B167" s="125" t="s">
        <v>210</v>
      </c>
      <c r="C167" s="126" t="s">
        <v>384</v>
      </c>
      <c r="D167" s="126" t="s">
        <v>374</v>
      </c>
      <c r="E167" s="127">
        <v>11</v>
      </c>
      <c r="F167" s="127" t="s">
        <v>241</v>
      </c>
      <c r="G167" s="128">
        <v>30</v>
      </c>
      <c r="H167" s="129"/>
      <c r="I167" s="130"/>
      <c r="J167" s="129"/>
      <c r="K167" s="131" t="s">
        <v>424</v>
      </c>
      <c r="L167" s="127" t="s">
        <v>210</v>
      </c>
      <c r="M167" s="132">
        <v>35</v>
      </c>
      <c r="N167" s="125" t="s">
        <v>242</v>
      </c>
      <c r="O167" s="133">
        <v>41254</v>
      </c>
    </row>
    <row r="168" spans="2:15" s="125" customFormat="1" ht="15" customHeight="1" x14ac:dyDescent="0.2">
      <c r="B168" s="125" t="s">
        <v>210</v>
      </c>
      <c r="C168" s="126" t="s">
        <v>384</v>
      </c>
      <c r="D168" s="126" t="s">
        <v>375</v>
      </c>
      <c r="E168" s="127">
        <v>12</v>
      </c>
      <c r="F168" s="127" t="s">
        <v>241</v>
      </c>
      <c r="G168" s="128">
        <v>33.5</v>
      </c>
      <c r="H168" s="129"/>
      <c r="I168" s="130"/>
      <c r="J168" s="129"/>
      <c r="K168" s="131" t="s">
        <v>424</v>
      </c>
      <c r="L168" s="127" t="s">
        <v>210</v>
      </c>
      <c r="M168" s="132">
        <v>35</v>
      </c>
      <c r="N168" s="125" t="s">
        <v>242</v>
      </c>
      <c r="O168" s="133">
        <v>43446</v>
      </c>
    </row>
    <row r="169" spans="2:15" s="125" customFormat="1" ht="15" customHeight="1" x14ac:dyDescent="0.2">
      <c r="B169" s="125" t="s">
        <v>210</v>
      </c>
      <c r="C169" s="126" t="s">
        <v>384</v>
      </c>
      <c r="D169" s="126" t="s">
        <v>376</v>
      </c>
      <c r="E169" s="127">
        <v>13</v>
      </c>
      <c r="F169" s="127" t="s">
        <v>241</v>
      </c>
      <c r="G169" s="128">
        <v>35</v>
      </c>
      <c r="H169" s="129"/>
      <c r="I169" s="130"/>
      <c r="J169" s="129"/>
      <c r="K169" s="131" t="s">
        <v>424</v>
      </c>
      <c r="L169" s="127" t="s">
        <v>210</v>
      </c>
      <c r="M169" s="132">
        <v>35</v>
      </c>
      <c r="N169" s="125" t="s">
        <v>242</v>
      </c>
      <c r="O169" s="133">
        <v>46055</v>
      </c>
    </row>
    <row r="170" spans="2:15" s="125" customFormat="1" ht="15" customHeight="1" x14ac:dyDescent="0.2">
      <c r="B170" s="125" t="s">
        <v>210</v>
      </c>
      <c r="C170" s="126" t="s">
        <v>384</v>
      </c>
      <c r="D170" s="126" t="s">
        <v>378</v>
      </c>
      <c r="E170" s="127">
        <v>4</v>
      </c>
      <c r="F170" s="127" t="s">
        <v>96</v>
      </c>
      <c r="G170" s="128">
        <v>8.4</v>
      </c>
      <c r="H170" s="129"/>
      <c r="I170" s="130"/>
      <c r="J170" s="129"/>
      <c r="K170" s="131" t="s">
        <v>425</v>
      </c>
      <c r="L170" s="127" t="s">
        <v>408</v>
      </c>
      <c r="M170" s="132">
        <v>14</v>
      </c>
      <c r="N170" s="125" t="s">
        <v>211</v>
      </c>
      <c r="O170" s="133">
        <v>20395</v>
      </c>
    </row>
    <row r="171" spans="2:15" s="125" customFormat="1" ht="15" customHeight="1" x14ac:dyDescent="0.2">
      <c r="B171" s="125" t="s">
        <v>210</v>
      </c>
      <c r="C171" s="126" t="s">
        <v>384</v>
      </c>
      <c r="D171" s="126" t="s">
        <v>379</v>
      </c>
      <c r="E171" s="127">
        <v>5</v>
      </c>
      <c r="F171" s="127" t="s">
        <v>96</v>
      </c>
      <c r="G171" s="128">
        <v>11.2</v>
      </c>
      <c r="H171" s="129"/>
      <c r="I171" s="130"/>
      <c r="J171" s="129"/>
      <c r="K171" s="131" t="s">
        <v>425</v>
      </c>
      <c r="L171" s="127" t="s">
        <v>408</v>
      </c>
      <c r="M171" s="132">
        <v>14</v>
      </c>
      <c r="N171" s="125" t="s">
        <v>211</v>
      </c>
      <c r="O171" s="133">
        <v>22816</v>
      </c>
    </row>
    <row r="172" spans="2:15" s="125" customFormat="1" ht="15" customHeight="1" x14ac:dyDescent="0.2">
      <c r="B172" s="125" t="s">
        <v>210</v>
      </c>
      <c r="C172" s="126" t="s">
        <v>384</v>
      </c>
      <c r="D172" s="126" t="s">
        <v>380</v>
      </c>
      <c r="E172" s="127">
        <v>6</v>
      </c>
      <c r="F172" s="127" t="s">
        <v>96</v>
      </c>
      <c r="G172" s="128">
        <v>14</v>
      </c>
      <c r="H172" s="129"/>
      <c r="I172" s="130"/>
      <c r="J172" s="129"/>
      <c r="K172" s="131" t="s">
        <v>425</v>
      </c>
      <c r="L172" s="127" t="s">
        <v>408</v>
      </c>
      <c r="M172" s="132">
        <v>14</v>
      </c>
      <c r="N172" s="125" t="s">
        <v>211</v>
      </c>
      <c r="O172" s="133">
        <v>25129</v>
      </c>
    </row>
    <row r="173" spans="2:15" s="125" customFormat="1" ht="15" customHeight="1" x14ac:dyDescent="0.2">
      <c r="B173" s="125" t="s">
        <v>210</v>
      </c>
      <c r="C173" s="126" t="s">
        <v>384</v>
      </c>
      <c r="D173" s="126" t="s">
        <v>381</v>
      </c>
      <c r="E173" s="127">
        <v>6.5</v>
      </c>
      <c r="F173" s="127" t="s">
        <v>241</v>
      </c>
      <c r="G173" s="128">
        <v>18</v>
      </c>
      <c r="H173" s="129"/>
      <c r="I173" s="130"/>
      <c r="J173" s="129"/>
      <c r="K173" s="131" t="s">
        <v>423</v>
      </c>
      <c r="L173" s="127" t="s">
        <v>407</v>
      </c>
      <c r="M173" s="132">
        <v>22.4</v>
      </c>
      <c r="N173" s="125" t="s">
        <v>242</v>
      </c>
      <c r="O173" s="133">
        <v>29099</v>
      </c>
    </row>
    <row r="174" spans="2:15" s="125" customFormat="1" ht="15" customHeight="1" x14ac:dyDescent="0.2">
      <c r="B174" s="125" t="s">
        <v>210</v>
      </c>
      <c r="C174" s="126" t="s">
        <v>384</v>
      </c>
      <c r="D174" s="126" t="s">
        <v>382</v>
      </c>
      <c r="E174" s="127">
        <v>7</v>
      </c>
      <c r="F174" s="127" t="s">
        <v>241</v>
      </c>
      <c r="G174" s="128">
        <v>20</v>
      </c>
      <c r="H174" s="129"/>
      <c r="I174" s="130"/>
      <c r="J174" s="129"/>
      <c r="K174" s="131" t="s">
        <v>423</v>
      </c>
      <c r="L174" s="127" t="s">
        <v>407</v>
      </c>
      <c r="M174" s="132">
        <v>22.4</v>
      </c>
      <c r="N174" s="125" t="s">
        <v>242</v>
      </c>
      <c r="O174" s="133">
        <v>31581</v>
      </c>
    </row>
    <row r="175" spans="2:15" s="125" customFormat="1" ht="15" customHeight="1" x14ac:dyDescent="0.2">
      <c r="B175" s="125" t="s">
        <v>210</v>
      </c>
      <c r="C175" s="126" t="s">
        <v>384</v>
      </c>
      <c r="D175" s="126" t="s">
        <v>383</v>
      </c>
      <c r="E175" s="127">
        <v>8</v>
      </c>
      <c r="F175" s="127" t="s">
        <v>241</v>
      </c>
      <c r="G175" s="128">
        <v>22.4</v>
      </c>
      <c r="H175" s="129"/>
      <c r="I175" s="130"/>
      <c r="J175" s="129"/>
      <c r="K175" s="131" t="s">
        <v>423</v>
      </c>
      <c r="L175" s="127" t="s">
        <v>407</v>
      </c>
      <c r="M175" s="132">
        <v>22.4</v>
      </c>
      <c r="N175" s="125" t="s">
        <v>242</v>
      </c>
      <c r="O175" s="133">
        <v>32458</v>
      </c>
    </row>
    <row r="176" spans="2:15" s="125" customFormat="1" ht="15" customHeight="1" x14ac:dyDescent="0.2">
      <c r="B176" s="125" t="s">
        <v>210</v>
      </c>
      <c r="C176" s="126" t="s">
        <v>384</v>
      </c>
      <c r="D176" s="126" t="s">
        <v>377</v>
      </c>
      <c r="E176" s="127">
        <v>3</v>
      </c>
      <c r="F176" s="127" t="s">
        <v>96</v>
      </c>
      <c r="G176" s="128">
        <v>8.4</v>
      </c>
      <c r="H176" s="129"/>
      <c r="I176" s="130"/>
      <c r="J176" s="129"/>
      <c r="K176" s="131" t="s">
        <v>421</v>
      </c>
      <c r="L176" s="127" t="s">
        <v>210</v>
      </c>
      <c r="M176" s="132">
        <v>35</v>
      </c>
      <c r="N176" s="125" t="s">
        <v>211</v>
      </c>
      <c r="O176" s="133"/>
    </row>
    <row r="177" spans="2:15" s="125" customFormat="1" ht="15" customHeight="1" x14ac:dyDescent="0.2">
      <c r="B177" s="125" t="s">
        <v>210</v>
      </c>
      <c r="C177" s="126" t="s">
        <v>384</v>
      </c>
      <c r="D177" s="126" t="s">
        <v>209</v>
      </c>
      <c r="E177" s="127">
        <v>4</v>
      </c>
      <c r="F177" s="127" t="s">
        <v>96</v>
      </c>
      <c r="G177" s="128">
        <v>11.2</v>
      </c>
      <c r="H177" s="129"/>
      <c r="I177" s="130"/>
      <c r="J177" s="129"/>
      <c r="K177" s="131" t="s">
        <v>422</v>
      </c>
      <c r="L177" s="127" t="s">
        <v>210</v>
      </c>
      <c r="M177" s="132">
        <v>35</v>
      </c>
      <c r="N177" s="125" t="s">
        <v>235</v>
      </c>
      <c r="O177" s="133"/>
    </row>
    <row r="178" spans="2:15" s="125" customFormat="1" ht="15" customHeight="1" x14ac:dyDescent="0.2">
      <c r="B178" s="125" t="s">
        <v>210</v>
      </c>
      <c r="C178" s="126" t="s">
        <v>384</v>
      </c>
      <c r="D178" s="126" t="s">
        <v>212</v>
      </c>
      <c r="E178" s="127">
        <v>5</v>
      </c>
      <c r="F178" s="127" t="s">
        <v>96</v>
      </c>
      <c r="G178" s="128">
        <v>14</v>
      </c>
      <c r="H178" s="129"/>
      <c r="I178" s="130"/>
      <c r="J178" s="129"/>
      <c r="K178" s="131" t="s">
        <v>422</v>
      </c>
      <c r="L178" s="127" t="s">
        <v>210</v>
      </c>
      <c r="M178" s="132">
        <v>35</v>
      </c>
      <c r="N178" s="125" t="s">
        <v>235</v>
      </c>
      <c r="O178" s="133"/>
    </row>
    <row r="179" spans="2:15" s="125" customFormat="1" ht="15" customHeight="1" x14ac:dyDescent="0.2">
      <c r="B179" s="125" t="s">
        <v>210</v>
      </c>
      <c r="C179" s="126" t="s">
        <v>384</v>
      </c>
      <c r="D179" s="126" t="s">
        <v>213</v>
      </c>
      <c r="E179" s="127">
        <v>6</v>
      </c>
      <c r="F179" s="127" t="s">
        <v>96</v>
      </c>
      <c r="G179" s="128">
        <v>15.6</v>
      </c>
      <c r="H179" s="129"/>
      <c r="I179" s="130"/>
      <c r="J179" s="129"/>
      <c r="K179" s="131" t="s">
        <v>422</v>
      </c>
      <c r="L179" s="127" t="s">
        <v>210</v>
      </c>
      <c r="M179" s="132">
        <v>35</v>
      </c>
      <c r="N179" s="125" t="s">
        <v>235</v>
      </c>
      <c r="O179" s="133"/>
    </row>
    <row r="180" spans="2:15" s="125" customFormat="1" ht="15" customHeight="1" x14ac:dyDescent="0.2">
      <c r="B180" s="125" t="s">
        <v>210</v>
      </c>
      <c r="C180" s="126" t="s">
        <v>384</v>
      </c>
      <c r="D180" s="126" t="s">
        <v>369</v>
      </c>
      <c r="E180" s="127">
        <v>6.5</v>
      </c>
      <c r="F180" s="127" t="s">
        <v>96</v>
      </c>
      <c r="G180" s="128">
        <v>18</v>
      </c>
      <c r="H180" s="129"/>
      <c r="I180" s="130"/>
      <c r="J180" s="129"/>
      <c r="K180" s="131" t="s">
        <v>423</v>
      </c>
      <c r="L180" s="127" t="s">
        <v>210</v>
      </c>
      <c r="M180" s="132">
        <v>35</v>
      </c>
      <c r="N180" s="125" t="s">
        <v>235</v>
      </c>
      <c r="O180" s="133"/>
    </row>
    <row r="181" spans="2:15" s="125" customFormat="1" ht="15" customHeight="1" x14ac:dyDescent="0.2">
      <c r="B181" s="125" t="s">
        <v>210</v>
      </c>
      <c r="C181" s="126" t="s">
        <v>384</v>
      </c>
      <c r="D181" s="126" t="s">
        <v>370</v>
      </c>
      <c r="E181" s="127">
        <v>7</v>
      </c>
      <c r="F181" s="127" t="s">
        <v>96</v>
      </c>
      <c r="G181" s="128">
        <v>20</v>
      </c>
      <c r="H181" s="129"/>
      <c r="I181" s="130"/>
      <c r="J181" s="129"/>
      <c r="K181" s="131" t="s">
        <v>423</v>
      </c>
      <c r="L181" s="127" t="s">
        <v>210</v>
      </c>
      <c r="M181" s="132">
        <v>35</v>
      </c>
      <c r="N181" s="125" t="s">
        <v>235</v>
      </c>
      <c r="O181" s="133"/>
    </row>
    <row r="182" spans="2:15" s="125" customFormat="1" ht="15" customHeight="1" x14ac:dyDescent="0.2">
      <c r="B182" s="125" t="s">
        <v>210</v>
      </c>
      <c r="C182" s="126" t="s">
        <v>384</v>
      </c>
      <c r="D182" s="126" t="s">
        <v>371</v>
      </c>
      <c r="E182" s="127">
        <v>8</v>
      </c>
      <c r="F182" s="127" t="s">
        <v>96</v>
      </c>
      <c r="G182" s="128">
        <v>22.4</v>
      </c>
      <c r="H182" s="129"/>
      <c r="I182" s="130"/>
      <c r="J182" s="129"/>
      <c r="K182" s="131" t="s">
        <v>423</v>
      </c>
      <c r="L182" s="127" t="s">
        <v>210</v>
      </c>
      <c r="M182" s="132">
        <v>35</v>
      </c>
      <c r="N182" s="125" t="s">
        <v>235</v>
      </c>
      <c r="O182" s="133"/>
    </row>
    <row r="183" spans="2:15" s="125" customFormat="1" ht="15" customHeight="1" x14ac:dyDescent="0.2">
      <c r="B183" s="125" t="s">
        <v>210</v>
      </c>
      <c r="C183" s="126" t="s">
        <v>384</v>
      </c>
      <c r="D183" s="126" t="s">
        <v>372</v>
      </c>
      <c r="E183" s="127">
        <v>9</v>
      </c>
      <c r="F183" s="127" t="s">
        <v>241</v>
      </c>
      <c r="G183" s="128">
        <v>25.2</v>
      </c>
      <c r="H183" s="129"/>
      <c r="I183" s="130"/>
      <c r="J183" s="129"/>
      <c r="K183" s="131" t="s">
        <v>423</v>
      </c>
      <c r="L183" s="127" t="s">
        <v>210</v>
      </c>
      <c r="M183" s="132">
        <v>35</v>
      </c>
      <c r="N183" s="125" t="s">
        <v>242</v>
      </c>
      <c r="O183" s="133"/>
    </row>
    <row r="184" spans="2:15" s="125" customFormat="1" ht="15" customHeight="1" x14ac:dyDescent="0.2">
      <c r="B184" s="125" t="s">
        <v>210</v>
      </c>
      <c r="C184" s="126" t="s">
        <v>384</v>
      </c>
      <c r="D184" s="126" t="s">
        <v>373</v>
      </c>
      <c r="E184" s="127">
        <v>10</v>
      </c>
      <c r="F184" s="127" t="s">
        <v>241</v>
      </c>
      <c r="G184" s="128">
        <v>28.2</v>
      </c>
      <c r="H184" s="129"/>
      <c r="I184" s="130"/>
      <c r="J184" s="129"/>
      <c r="K184" s="131" t="s">
        <v>423</v>
      </c>
      <c r="L184" s="127" t="s">
        <v>210</v>
      </c>
      <c r="M184" s="132">
        <v>35</v>
      </c>
      <c r="N184" s="125" t="s">
        <v>242</v>
      </c>
      <c r="O184" s="133"/>
    </row>
    <row r="185" spans="2:15" s="125" customFormat="1" ht="15" customHeight="1" x14ac:dyDescent="0.2">
      <c r="B185" s="125" t="s">
        <v>210</v>
      </c>
      <c r="C185" s="126" t="s">
        <v>384</v>
      </c>
      <c r="D185" s="126" t="s">
        <v>374</v>
      </c>
      <c r="E185" s="127">
        <v>11</v>
      </c>
      <c r="F185" s="127" t="s">
        <v>241</v>
      </c>
      <c r="G185" s="128">
        <v>30</v>
      </c>
      <c r="H185" s="129"/>
      <c r="I185" s="130"/>
      <c r="J185" s="129"/>
      <c r="K185" s="131" t="s">
        <v>424</v>
      </c>
      <c r="L185" s="127" t="s">
        <v>210</v>
      </c>
      <c r="M185" s="132">
        <v>35</v>
      </c>
      <c r="N185" s="125" t="s">
        <v>242</v>
      </c>
      <c r="O185" s="133"/>
    </row>
    <row r="186" spans="2:15" s="125" customFormat="1" ht="15" customHeight="1" x14ac:dyDescent="0.2">
      <c r="B186" s="125" t="s">
        <v>210</v>
      </c>
      <c r="C186" s="126" t="s">
        <v>384</v>
      </c>
      <c r="D186" s="126" t="s">
        <v>375</v>
      </c>
      <c r="E186" s="127">
        <v>12</v>
      </c>
      <c r="F186" s="127" t="s">
        <v>241</v>
      </c>
      <c r="G186" s="128">
        <v>33.5</v>
      </c>
      <c r="H186" s="129"/>
      <c r="I186" s="130"/>
      <c r="J186" s="129"/>
      <c r="K186" s="131" t="s">
        <v>424</v>
      </c>
      <c r="L186" s="127" t="s">
        <v>210</v>
      </c>
      <c r="M186" s="132">
        <v>35</v>
      </c>
      <c r="N186" s="125" t="s">
        <v>242</v>
      </c>
      <c r="O186" s="133"/>
    </row>
    <row r="187" spans="2:15" s="125" customFormat="1" ht="15" customHeight="1" x14ac:dyDescent="0.2">
      <c r="B187" s="125" t="s">
        <v>210</v>
      </c>
      <c r="C187" s="126" t="s">
        <v>384</v>
      </c>
      <c r="D187" s="126" t="s">
        <v>376</v>
      </c>
      <c r="E187" s="127">
        <v>13</v>
      </c>
      <c r="F187" s="127" t="s">
        <v>241</v>
      </c>
      <c r="G187" s="128">
        <v>35</v>
      </c>
      <c r="H187" s="129"/>
      <c r="I187" s="130"/>
      <c r="J187" s="129"/>
      <c r="K187" s="131" t="s">
        <v>424</v>
      </c>
      <c r="L187" s="127" t="s">
        <v>210</v>
      </c>
      <c r="M187" s="132">
        <v>35</v>
      </c>
      <c r="N187" s="125" t="s">
        <v>242</v>
      </c>
      <c r="O187" s="133"/>
    </row>
    <row r="188" spans="2:15" s="125" customFormat="1" ht="15" customHeight="1" x14ac:dyDescent="0.2">
      <c r="B188" s="125" t="s">
        <v>210</v>
      </c>
      <c r="C188" s="126" t="s">
        <v>384</v>
      </c>
      <c r="D188" s="126" t="s">
        <v>378</v>
      </c>
      <c r="E188" s="127">
        <v>4</v>
      </c>
      <c r="F188" s="127" t="s">
        <v>96</v>
      </c>
      <c r="G188" s="128">
        <v>8.4</v>
      </c>
      <c r="H188" s="129"/>
      <c r="I188" s="130"/>
      <c r="J188" s="129"/>
      <c r="K188" s="131" t="s">
        <v>425</v>
      </c>
      <c r="L188" s="127" t="s">
        <v>408</v>
      </c>
      <c r="M188" s="132">
        <v>14</v>
      </c>
      <c r="N188" s="125" t="s">
        <v>211</v>
      </c>
      <c r="O188" s="133"/>
    </row>
    <row r="189" spans="2:15" s="125" customFormat="1" ht="15" customHeight="1" x14ac:dyDescent="0.2">
      <c r="B189" s="125" t="s">
        <v>210</v>
      </c>
      <c r="C189" s="126" t="s">
        <v>384</v>
      </c>
      <c r="D189" s="126" t="s">
        <v>379</v>
      </c>
      <c r="E189" s="127">
        <v>5</v>
      </c>
      <c r="F189" s="127" t="s">
        <v>96</v>
      </c>
      <c r="G189" s="128">
        <v>11.2</v>
      </c>
      <c r="H189" s="129"/>
      <c r="I189" s="130"/>
      <c r="J189" s="129"/>
      <c r="K189" s="131" t="s">
        <v>425</v>
      </c>
      <c r="L189" s="127" t="s">
        <v>408</v>
      </c>
      <c r="M189" s="132">
        <v>14</v>
      </c>
      <c r="N189" s="125" t="s">
        <v>211</v>
      </c>
      <c r="O189" s="133"/>
    </row>
    <row r="190" spans="2:15" s="125" customFormat="1" ht="15" customHeight="1" x14ac:dyDescent="0.2">
      <c r="B190" s="125" t="s">
        <v>210</v>
      </c>
      <c r="C190" s="126" t="s">
        <v>384</v>
      </c>
      <c r="D190" s="126" t="s">
        <v>380</v>
      </c>
      <c r="E190" s="127">
        <v>6</v>
      </c>
      <c r="F190" s="127" t="s">
        <v>96</v>
      </c>
      <c r="G190" s="128">
        <v>14</v>
      </c>
      <c r="H190" s="129"/>
      <c r="I190" s="130"/>
      <c r="J190" s="129"/>
      <c r="K190" s="131" t="s">
        <v>425</v>
      </c>
      <c r="L190" s="127" t="s">
        <v>408</v>
      </c>
      <c r="M190" s="132">
        <v>14</v>
      </c>
      <c r="N190" s="125" t="s">
        <v>211</v>
      </c>
      <c r="O190" s="133"/>
    </row>
    <row r="191" spans="2:15" s="125" customFormat="1" ht="15" customHeight="1" x14ac:dyDescent="0.2">
      <c r="B191" s="125" t="s">
        <v>210</v>
      </c>
      <c r="C191" s="126" t="s">
        <v>384</v>
      </c>
      <c r="D191" s="126" t="s">
        <v>381</v>
      </c>
      <c r="E191" s="127">
        <v>6.5</v>
      </c>
      <c r="F191" s="127" t="s">
        <v>241</v>
      </c>
      <c r="G191" s="128">
        <v>18</v>
      </c>
      <c r="H191" s="129"/>
      <c r="I191" s="130"/>
      <c r="J191" s="129"/>
      <c r="K191" s="131" t="s">
        <v>423</v>
      </c>
      <c r="L191" s="127" t="s">
        <v>407</v>
      </c>
      <c r="M191" s="132">
        <v>22.4</v>
      </c>
      <c r="N191" s="125" t="s">
        <v>242</v>
      </c>
      <c r="O191" s="133"/>
    </row>
    <row r="192" spans="2:15" s="125" customFormat="1" ht="15" customHeight="1" x14ac:dyDescent="0.2">
      <c r="B192" s="125" t="s">
        <v>210</v>
      </c>
      <c r="C192" s="126" t="s">
        <v>384</v>
      </c>
      <c r="D192" s="126" t="s">
        <v>382</v>
      </c>
      <c r="E192" s="127">
        <v>7</v>
      </c>
      <c r="F192" s="127" t="s">
        <v>241</v>
      </c>
      <c r="G192" s="128">
        <v>20</v>
      </c>
      <c r="H192" s="129"/>
      <c r="I192" s="130"/>
      <c r="J192" s="129"/>
      <c r="K192" s="131" t="s">
        <v>423</v>
      </c>
      <c r="L192" s="127" t="s">
        <v>407</v>
      </c>
      <c r="M192" s="132">
        <v>22.4</v>
      </c>
      <c r="N192" s="125" t="s">
        <v>242</v>
      </c>
      <c r="O192" s="133"/>
    </row>
    <row r="193" spans="2:15" s="125" customFormat="1" ht="15" customHeight="1" x14ac:dyDescent="0.2">
      <c r="B193" s="125" t="s">
        <v>210</v>
      </c>
      <c r="C193" s="126" t="s">
        <v>384</v>
      </c>
      <c r="D193" s="126" t="s">
        <v>383</v>
      </c>
      <c r="E193" s="127">
        <v>8</v>
      </c>
      <c r="F193" s="127" t="s">
        <v>241</v>
      </c>
      <c r="G193" s="128">
        <v>22.4</v>
      </c>
      <c r="H193" s="129"/>
      <c r="I193" s="130"/>
      <c r="J193" s="129"/>
      <c r="K193" s="131" t="s">
        <v>423</v>
      </c>
      <c r="L193" s="127" t="s">
        <v>407</v>
      </c>
      <c r="M193" s="132">
        <v>22.4</v>
      </c>
      <c r="N193" s="125" t="s">
        <v>242</v>
      </c>
      <c r="O193" s="133"/>
    </row>
    <row r="194" spans="2:15" s="125" customFormat="1" ht="15" customHeight="1" x14ac:dyDescent="0.2">
      <c r="B194" s="125" t="s">
        <v>215</v>
      </c>
      <c r="C194" s="126" t="s">
        <v>384</v>
      </c>
      <c r="D194" s="126" t="s">
        <v>214</v>
      </c>
      <c r="E194" s="127">
        <v>4</v>
      </c>
      <c r="F194" s="127" t="s">
        <v>96</v>
      </c>
      <c r="G194" s="134">
        <v>11.2</v>
      </c>
      <c r="H194" s="129">
        <v>2.65</v>
      </c>
      <c r="I194" s="130">
        <v>12.5</v>
      </c>
      <c r="J194" s="129">
        <v>2.5499999999999998</v>
      </c>
      <c r="K194" s="131" t="s">
        <v>426</v>
      </c>
      <c r="L194" s="127" t="s">
        <v>216</v>
      </c>
      <c r="M194" s="132">
        <v>18</v>
      </c>
      <c r="N194" s="125" t="s">
        <v>211</v>
      </c>
      <c r="O194" s="133">
        <v>16766</v>
      </c>
    </row>
    <row r="195" spans="2:15" s="125" customFormat="1" ht="15" customHeight="1" x14ac:dyDescent="0.2">
      <c r="B195" s="125" t="s">
        <v>215</v>
      </c>
      <c r="C195" s="126" t="s">
        <v>384</v>
      </c>
      <c r="D195" s="126" t="s">
        <v>217</v>
      </c>
      <c r="E195" s="127">
        <v>4.5</v>
      </c>
      <c r="F195" s="127" t="s">
        <v>96</v>
      </c>
      <c r="G195" s="134">
        <v>12.5</v>
      </c>
      <c r="H195" s="129">
        <v>3.3</v>
      </c>
      <c r="I195" s="130">
        <v>14</v>
      </c>
      <c r="J195" s="129">
        <v>2.9</v>
      </c>
      <c r="K195" s="131" t="s">
        <v>426</v>
      </c>
      <c r="L195" s="127" t="s">
        <v>216</v>
      </c>
      <c r="M195" s="132">
        <v>18</v>
      </c>
      <c r="N195" s="125" t="s">
        <v>211</v>
      </c>
      <c r="O195" s="133">
        <v>17113</v>
      </c>
    </row>
    <row r="196" spans="2:15" s="125" customFormat="1" ht="15" customHeight="1" x14ac:dyDescent="0.2">
      <c r="B196" s="125" t="s">
        <v>215</v>
      </c>
      <c r="C196" s="126" t="s">
        <v>384</v>
      </c>
      <c r="D196" s="126" t="s">
        <v>218</v>
      </c>
      <c r="E196" s="127">
        <v>5</v>
      </c>
      <c r="F196" s="127" t="s">
        <v>96</v>
      </c>
      <c r="G196" s="134">
        <v>14</v>
      </c>
      <c r="H196" s="129">
        <v>3.85</v>
      </c>
      <c r="I196" s="130">
        <v>16</v>
      </c>
      <c r="J196" s="129">
        <v>3.55</v>
      </c>
      <c r="K196" s="131" t="s">
        <v>426</v>
      </c>
      <c r="L196" s="127" t="s">
        <v>216</v>
      </c>
      <c r="M196" s="132">
        <v>18</v>
      </c>
      <c r="N196" s="125" t="s">
        <v>211</v>
      </c>
      <c r="O196" s="133">
        <v>17473</v>
      </c>
    </row>
    <row r="197" spans="2:15" s="125" customFormat="1" ht="15" customHeight="1" x14ac:dyDescent="0.2">
      <c r="B197" s="125" t="s">
        <v>215</v>
      </c>
      <c r="C197" s="126" t="s">
        <v>384</v>
      </c>
      <c r="D197" s="126" t="s">
        <v>219</v>
      </c>
      <c r="E197" s="127">
        <v>6</v>
      </c>
      <c r="F197" s="127" t="s">
        <v>96</v>
      </c>
      <c r="G197" s="134">
        <v>15.5</v>
      </c>
      <c r="H197" s="129">
        <v>4.8</v>
      </c>
      <c r="I197" s="130">
        <v>17</v>
      </c>
      <c r="J197" s="129">
        <v>3.9</v>
      </c>
      <c r="K197" s="131" t="s">
        <v>426</v>
      </c>
      <c r="L197" s="127" t="s">
        <v>216</v>
      </c>
      <c r="M197" s="132">
        <v>18</v>
      </c>
      <c r="N197" s="125" t="s">
        <v>211</v>
      </c>
      <c r="O197" s="133">
        <v>18166</v>
      </c>
    </row>
    <row r="198" spans="2:15" s="125" customFormat="1" ht="15" customHeight="1" x14ac:dyDescent="0.2">
      <c r="B198" s="125" t="s">
        <v>215</v>
      </c>
      <c r="C198" s="126" t="s">
        <v>384</v>
      </c>
      <c r="D198" s="126" t="s">
        <v>220</v>
      </c>
      <c r="E198" s="127">
        <v>6.5</v>
      </c>
      <c r="F198" s="127" t="s">
        <v>96</v>
      </c>
      <c r="G198" s="134">
        <v>18</v>
      </c>
      <c r="H198" s="129">
        <v>6</v>
      </c>
      <c r="I198" s="130">
        <v>19</v>
      </c>
      <c r="J198" s="129">
        <v>4.3</v>
      </c>
      <c r="K198" s="131" t="s">
        <v>427</v>
      </c>
      <c r="L198" s="127" t="s">
        <v>216</v>
      </c>
      <c r="M198" s="132">
        <v>18</v>
      </c>
      <c r="N198" s="125" t="s">
        <v>211</v>
      </c>
      <c r="O198" s="133">
        <v>20703</v>
      </c>
    </row>
    <row r="199" spans="2:15" s="135" customFormat="1" ht="15" customHeight="1" x14ac:dyDescent="0.2">
      <c r="B199" s="135" t="s">
        <v>490</v>
      </c>
      <c r="C199" s="136" t="s">
        <v>384</v>
      </c>
      <c r="D199" s="136" t="s">
        <v>472</v>
      </c>
      <c r="E199" s="137">
        <v>3</v>
      </c>
      <c r="F199" s="137" t="s">
        <v>96</v>
      </c>
      <c r="G199" s="153">
        <v>8.4</v>
      </c>
      <c r="H199" s="139"/>
      <c r="I199" s="140"/>
      <c r="J199" s="139"/>
      <c r="K199" s="141" t="s">
        <v>421</v>
      </c>
      <c r="L199" s="137" t="s">
        <v>495</v>
      </c>
      <c r="M199" s="142">
        <v>35</v>
      </c>
      <c r="N199" s="135" t="s">
        <v>211</v>
      </c>
      <c r="O199" s="143">
        <v>13429</v>
      </c>
    </row>
    <row r="200" spans="2:15" s="135" customFormat="1" ht="15" customHeight="1" x14ac:dyDescent="0.2">
      <c r="B200" s="135" t="s">
        <v>490</v>
      </c>
      <c r="C200" s="136" t="s">
        <v>384</v>
      </c>
      <c r="D200" s="136" t="s">
        <v>473</v>
      </c>
      <c r="E200" s="137">
        <v>4</v>
      </c>
      <c r="F200" s="137" t="s">
        <v>96</v>
      </c>
      <c r="G200" s="153">
        <v>11.2</v>
      </c>
      <c r="H200" s="139"/>
      <c r="I200" s="140"/>
      <c r="J200" s="139"/>
      <c r="K200" s="141" t="s">
        <v>422</v>
      </c>
      <c r="L200" s="137" t="s">
        <v>490</v>
      </c>
      <c r="M200" s="142">
        <v>35</v>
      </c>
      <c r="N200" s="135" t="s">
        <v>235</v>
      </c>
      <c r="O200" s="143">
        <v>17027</v>
      </c>
    </row>
    <row r="201" spans="2:15" s="135" customFormat="1" ht="15" customHeight="1" x14ac:dyDescent="0.2">
      <c r="B201" s="135" t="s">
        <v>490</v>
      </c>
      <c r="C201" s="136" t="s">
        <v>384</v>
      </c>
      <c r="D201" s="136" t="s">
        <v>474</v>
      </c>
      <c r="E201" s="137">
        <v>5</v>
      </c>
      <c r="F201" s="137" t="s">
        <v>96</v>
      </c>
      <c r="G201" s="153">
        <v>14</v>
      </c>
      <c r="H201" s="139"/>
      <c r="I201" s="140"/>
      <c r="J201" s="139"/>
      <c r="K201" s="141" t="s">
        <v>422</v>
      </c>
      <c r="L201" s="137" t="s">
        <v>490</v>
      </c>
      <c r="M201" s="142">
        <v>35</v>
      </c>
      <c r="N201" s="135" t="s">
        <v>235</v>
      </c>
      <c r="O201" s="143">
        <v>17518</v>
      </c>
    </row>
    <row r="202" spans="2:15" s="135" customFormat="1" ht="15" customHeight="1" x14ac:dyDescent="0.2">
      <c r="B202" s="135" t="s">
        <v>490</v>
      </c>
      <c r="C202" s="136" t="s">
        <v>384</v>
      </c>
      <c r="D202" s="136" t="s">
        <v>475</v>
      </c>
      <c r="E202" s="137">
        <v>6</v>
      </c>
      <c r="F202" s="137" t="s">
        <v>96</v>
      </c>
      <c r="G202" s="153">
        <v>15.6</v>
      </c>
      <c r="H202" s="139"/>
      <c r="I202" s="140"/>
      <c r="J202" s="139"/>
      <c r="K202" s="141" t="s">
        <v>422</v>
      </c>
      <c r="L202" s="137" t="s">
        <v>490</v>
      </c>
      <c r="M202" s="142">
        <v>35</v>
      </c>
      <c r="N202" s="135" t="s">
        <v>235</v>
      </c>
      <c r="O202" s="143">
        <v>18546</v>
      </c>
    </row>
    <row r="203" spans="2:15" s="135" customFormat="1" ht="15" customHeight="1" x14ac:dyDescent="0.2">
      <c r="B203" s="135" t="s">
        <v>490</v>
      </c>
      <c r="C203" s="136" t="s">
        <v>384</v>
      </c>
      <c r="D203" s="136" t="s">
        <v>484</v>
      </c>
      <c r="E203" s="137">
        <v>4</v>
      </c>
      <c r="F203" s="137" t="s">
        <v>96</v>
      </c>
      <c r="G203" s="153">
        <v>8.4</v>
      </c>
      <c r="H203" s="139"/>
      <c r="I203" s="140"/>
      <c r="J203" s="139"/>
      <c r="K203" s="141" t="s">
        <v>425</v>
      </c>
      <c r="L203" s="137" t="s">
        <v>491</v>
      </c>
      <c r="M203" s="142">
        <v>14</v>
      </c>
      <c r="N203" s="135" t="s">
        <v>211</v>
      </c>
      <c r="O203" s="143">
        <v>19552</v>
      </c>
    </row>
    <row r="204" spans="2:15" s="135" customFormat="1" ht="15" customHeight="1" x14ac:dyDescent="0.2">
      <c r="B204" s="135" t="s">
        <v>490</v>
      </c>
      <c r="C204" s="136" t="s">
        <v>384</v>
      </c>
      <c r="D204" s="136" t="s">
        <v>485</v>
      </c>
      <c r="E204" s="137">
        <v>5</v>
      </c>
      <c r="F204" s="137" t="s">
        <v>96</v>
      </c>
      <c r="G204" s="153">
        <v>11.2</v>
      </c>
      <c r="H204" s="139"/>
      <c r="I204" s="140"/>
      <c r="J204" s="139"/>
      <c r="K204" s="141" t="s">
        <v>425</v>
      </c>
      <c r="L204" s="137" t="s">
        <v>491</v>
      </c>
      <c r="M204" s="142">
        <v>14</v>
      </c>
      <c r="N204" s="135" t="s">
        <v>211</v>
      </c>
      <c r="O204" s="143">
        <v>20333</v>
      </c>
    </row>
    <row r="205" spans="2:15" s="135" customFormat="1" ht="15" customHeight="1" x14ac:dyDescent="0.2">
      <c r="B205" s="135" t="s">
        <v>490</v>
      </c>
      <c r="C205" s="136" t="s">
        <v>384</v>
      </c>
      <c r="D205" s="136" t="s">
        <v>486</v>
      </c>
      <c r="E205" s="137">
        <v>6</v>
      </c>
      <c r="F205" s="137" t="s">
        <v>96</v>
      </c>
      <c r="G205" s="153">
        <v>14</v>
      </c>
      <c r="H205" s="139"/>
      <c r="I205" s="140"/>
      <c r="J205" s="139"/>
      <c r="K205" s="141" t="s">
        <v>425</v>
      </c>
      <c r="L205" s="137" t="s">
        <v>491</v>
      </c>
      <c r="M205" s="142">
        <v>14</v>
      </c>
      <c r="N205" s="135" t="s">
        <v>211</v>
      </c>
      <c r="O205" s="143">
        <v>21260</v>
      </c>
    </row>
    <row r="206" spans="2:15" s="135" customFormat="1" ht="15" customHeight="1" x14ac:dyDescent="0.2">
      <c r="B206" s="135" t="s">
        <v>490</v>
      </c>
      <c r="C206" s="136" t="s">
        <v>384</v>
      </c>
      <c r="D206" s="136" t="s">
        <v>476</v>
      </c>
      <c r="E206" s="137">
        <v>6.5</v>
      </c>
      <c r="F206" s="137" t="s">
        <v>96</v>
      </c>
      <c r="G206" s="153">
        <v>18</v>
      </c>
      <c r="H206" s="139"/>
      <c r="I206" s="140"/>
      <c r="J206" s="139"/>
      <c r="K206" s="141" t="s">
        <v>423</v>
      </c>
      <c r="L206" s="137" t="s">
        <v>490</v>
      </c>
      <c r="M206" s="142">
        <v>35</v>
      </c>
      <c r="N206" s="135" t="s">
        <v>235</v>
      </c>
      <c r="O206" s="143">
        <v>23355</v>
      </c>
    </row>
    <row r="207" spans="2:15" s="135" customFormat="1" ht="15" customHeight="1" x14ac:dyDescent="0.2">
      <c r="B207" s="135" t="s">
        <v>490</v>
      </c>
      <c r="C207" s="136" t="s">
        <v>384</v>
      </c>
      <c r="D207" s="136" t="s">
        <v>477</v>
      </c>
      <c r="E207" s="137">
        <v>7</v>
      </c>
      <c r="F207" s="137" t="s">
        <v>96</v>
      </c>
      <c r="G207" s="153">
        <v>20</v>
      </c>
      <c r="H207" s="139"/>
      <c r="I207" s="140"/>
      <c r="J207" s="139"/>
      <c r="K207" s="141" t="s">
        <v>423</v>
      </c>
      <c r="L207" s="137" t="s">
        <v>490</v>
      </c>
      <c r="M207" s="142">
        <v>35</v>
      </c>
      <c r="N207" s="135" t="s">
        <v>235</v>
      </c>
      <c r="O207" s="143">
        <v>25352</v>
      </c>
    </row>
    <row r="208" spans="2:15" s="135" customFormat="1" ht="15" customHeight="1" x14ac:dyDescent="0.2">
      <c r="B208" s="135" t="s">
        <v>490</v>
      </c>
      <c r="C208" s="136" t="s">
        <v>384</v>
      </c>
      <c r="D208" s="136" t="s">
        <v>478</v>
      </c>
      <c r="E208" s="137">
        <v>8</v>
      </c>
      <c r="F208" s="137" t="s">
        <v>96</v>
      </c>
      <c r="G208" s="153">
        <v>22.4</v>
      </c>
      <c r="H208" s="139"/>
      <c r="I208" s="140"/>
      <c r="J208" s="139"/>
      <c r="K208" s="141" t="s">
        <v>423</v>
      </c>
      <c r="L208" s="137" t="s">
        <v>490</v>
      </c>
      <c r="M208" s="142">
        <v>35</v>
      </c>
      <c r="N208" s="135" t="s">
        <v>235</v>
      </c>
      <c r="O208" s="143">
        <v>28121</v>
      </c>
    </row>
    <row r="209" spans="2:15" s="135" customFormat="1" ht="15" customHeight="1" x14ac:dyDescent="0.2">
      <c r="B209" s="135" t="s">
        <v>490</v>
      </c>
      <c r="C209" s="136" t="s">
        <v>384</v>
      </c>
      <c r="D209" s="136" t="s">
        <v>487</v>
      </c>
      <c r="E209" s="137">
        <v>6.5</v>
      </c>
      <c r="F209" s="137" t="s">
        <v>241</v>
      </c>
      <c r="G209" s="153">
        <v>18</v>
      </c>
      <c r="H209" s="139"/>
      <c r="I209" s="140"/>
      <c r="J209" s="139"/>
      <c r="K209" s="141" t="s">
        <v>423</v>
      </c>
      <c r="L209" s="137" t="s">
        <v>492</v>
      </c>
      <c r="M209" s="142">
        <v>22.4</v>
      </c>
      <c r="N209" s="135" t="s">
        <v>242</v>
      </c>
      <c r="O209" s="143">
        <v>27319</v>
      </c>
    </row>
    <row r="210" spans="2:15" s="135" customFormat="1" ht="15" customHeight="1" x14ac:dyDescent="0.2">
      <c r="B210" s="135" t="s">
        <v>490</v>
      </c>
      <c r="C210" s="136" t="s">
        <v>384</v>
      </c>
      <c r="D210" s="136" t="s">
        <v>488</v>
      </c>
      <c r="E210" s="137">
        <v>7</v>
      </c>
      <c r="F210" s="137" t="s">
        <v>241</v>
      </c>
      <c r="G210" s="153">
        <v>20</v>
      </c>
      <c r="H210" s="139"/>
      <c r="I210" s="140"/>
      <c r="J210" s="139"/>
      <c r="K210" s="141" t="s">
        <v>423</v>
      </c>
      <c r="L210" s="137" t="s">
        <v>492</v>
      </c>
      <c r="M210" s="142">
        <v>22.4</v>
      </c>
      <c r="N210" s="135" t="s">
        <v>242</v>
      </c>
      <c r="O210" s="143">
        <v>27642</v>
      </c>
    </row>
    <row r="211" spans="2:15" s="135" customFormat="1" ht="15" customHeight="1" x14ac:dyDescent="0.2">
      <c r="B211" s="135" t="s">
        <v>490</v>
      </c>
      <c r="C211" s="136" t="s">
        <v>384</v>
      </c>
      <c r="D211" s="136" t="s">
        <v>489</v>
      </c>
      <c r="E211" s="137">
        <v>8</v>
      </c>
      <c r="F211" s="137" t="s">
        <v>241</v>
      </c>
      <c r="G211" s="153">
        <v>22.4</v>
      </c>
      <c r="H211" s="139"/>
      <c r="I211" s="140"/>
      <c r="J211" s="139"/>
      <c r="K211" s="141" t="s">
        <v>423</v>
      </c>
      <c r="L211" s="137" t="s">
        <v>492</v>
      </c>
      <c r="M211" s="142">
        <v>22.4</v>
      </c>
      <c r="N211" s="135" t="s">
        <v>242</v>
      </c>
      <c r="O211" s="143">
        <v>28121</v>
      </c>
    </row>
    <row r="212" spans="2:15" s="135" customFormat="1" ht="15" customHeight="1" x14ac:dyDescent="0.2">
      <c r="B212" s="135" t="s">
        <v>490</v>
      </c>
      <c r="C212" s="136" t="s">
        <v>384</v>
      </c>
      <c r="D212" s="136" t="s">
        <v>479</v>
      </c>
      <c r="E212" s="137">
        <v>9</v>
      </c>
      <c r="F212" s="137" t="s">
        <v>241</v>
      </c>
      <c r="G212" s="153">
        <v>25.2</v>
      </c>
      <c r="H212" s="139"/>
      <c r="I212" s="140"/>
      <c r="J212" s="139"/>
      <c r="K212" s="141" t="s">
        <v>423</v>
      </c>
      <c r="L212" s="137" t="s">
        <v>490</v>
      </c>
      <c r="M212" s="142">
        <v>35</v>
      </c>
      <c r="N212" s="135" t="s">
        <v>242</v>
      </c>
      <c r="O212" s="143">
        <v>29105</v>
      </c>
    </row>
    <row r="213" spans="2:15" s="135" customFormat="1" ht="15" customHeight="1" x14ac:dyDescent="0.2">
      <c r="B213" s="135" t="s">
        <v>490</v>
      </c>
      <c r="C213" s="136" t="s">
        <v>384</v>
      </c>
      <c r="D213" s="136" t="s">
        <v>480</v>
      </c>
      <c r="E213" s="137">
        <v>10</v>
      </c>
      <c r="F213" s="137" t="s">
        <v>241</v>
      </c>
      <c r="G213" s="153">
        <v>28.2</v>
      </c>
      <c r="H213" s="139"/>
      <c r="I213" s="140"/>
      <c r="J213" s="139"/>
      <c r="K213" s="141" t="s">
        <v>423</v>
      </c>
      <c r="L213" s="137" t="s">
        <v>490</v>
      </c>
      <c r="M213" s="142">
        <v>35</v>
      </c>
      <c r="N213" s="135" t="s">
        <v>242</v>
      </c>
      <c r="O213" s="143">
        <v>31328</v>
      </c>
    </row>
    <row r="214" spans="2:15" s="135" customFormat="1" ht="15" customHeight="1" x14ac:dyDescent="0.2">
      <c r="B214" s="135" t="s">
        <v>490</v>
      </c>
      <c r="C214" s="136" t="s">
        <v>384</v>
      </c>
      <c r="D214" s="136" t="s">
        <v>481</v>
      </c>
      <c r="E214" s="137">
        <v>11</v>
      </c>
      <c r="F214" s="137" t="s">
        <v>241</v>
      </c>
      <c r="G214" s="153">
        <v>30</v>
      </c>
      <c r="H214" s="139"/>
      <c r="I214" s="140"/>
      <c r="J214" s="139"/>
      <c r="K214" s="141" t="s">
        <v>424</v>
      </c>
      <c r="L214" s="137" t="s">
        <v>490</v>
      </c>
      <c r="M214" s="142">
        <v>35</v>
      </c>
      <c r="N214" s="135" t="s">
        <v>242</v>
      </c>
      <c r="O214" s="143">
        <v>35601</v>
      </c>
    </row>
    <row r="215" spans="2:15" s="135" customFormat="1" ht="15" customHeight="1" x14ac:dyDescent="0.2">
      <c r="B215" s="135" t="s">
        <v>490</v>
      </c>
      <c r="C215" s="136" t="s">
        <v>384</v>
      </c>
      <c r="D215" s="136" t="s">
        <v>482</v>
      </c>
      <c r="E215" s="137">
        <v>12</v>
      </c>
      <c r="F215" s="137" t="s">
        <v>241</v>
      </c>
      <c r="G215" s="153">
        <v>33.5</v>
      </c>
      <c r="H215" s="139"/>
      <c r="I215" s="140"/>
      <c r="J215" s="139"/>
      <c r="K215" s="141" t="s">
        <v>424</v>
      </c>
      <c r="L215" s="137" t="s">
        <v>490</v>
      </c>
      <c r="M215" s="142">
        <v>35</v>
      </c>
      <c r="N215" s="135" t="s">
        <v>242</v>
      </c>
      <c r="O215" s="143">
        <v>36065</v>
      </c>
    </row>
    <row r="216" spans="2:15" s="135" customFormat="1" ht="15" customHeight="1" x14ac:dyDescent="0.2">
      <c r="B216" s="135" t="s">
        <v>490</v>
      </c>
      <c r="C216" s="136" t="s">
        <v>384</v>
      </c>
      <c r="D216" s="136" t="s">
        <v>483</v>
      </c>
      <c r="E216" s="137">
        <v>13</v>
      </c>
      <c r="F216" s="137" t="s">
        <v>241</v>
      </c>
      <c r="G216" s="153">
        <v>35</v>
      </c>
      <c r="H216" s="139"/>
      <c r="I216" s="140"/>
      <c r="J216" s="139"/>
      <c r="K216" s="141" t="s">
        <v>424</v>
      </c>
      <c r="L216" s="137" t="s">
        <v>490</v>
      </c>
      <c r="M216" s="142">
        <v>35</v>
      </c>
      <c r="N216" s="135" t="s">
        <v>242</v>
      </c>
      <c r="O216" s="143">
        <v>36544</v>
      </c>
    </row>
    <row r="217" spans="2:15" s="135" customFormat="1" ht="15" customHeight="1" x14ac:dyDescent="0.2">
      <c r="B217" s="135" t="s">
        <v>494</v>
      </c>
      <c r="C217" s="136" t="s">
        <v>384</v>
      </c>
      <c r="D217" s="136" t="s">
        <v>467</v>
      </c>
      <c r="E217" s="137">
        <v>4</v>
      </c>
      <c r="F217" s="137" t="s">
        <v>96</v>
      </c>
      <c r="G217" s="138">
        <v>11.2</v>
      </c>
      <c r="H217" s="139">
        <v>2.65</v>
      </c>
      <c r="I217" s="140">
        <v>12.5</v>
      </c>
      <c r="J217" s="139">
        <v>2.5499999999999998</v>
      </c>
      <c r="K217" s="141" t="s">
        <v>426</v>
      </c>
      <c r="L217" s="137" t="s">
        <v>493</v>
      </c>
      <c r="M217" s="142">
        <v>18</v>
      </c>
      <c r="N217" s="135" t="s">
        <v>211</v>
      </c>
      <c r="O217" s="143"/>
    </row>
    <row r="218" spans="2:15" s="135" customFormat="1" ht="15" customHeight="1" x14ac:dyDescent="0.2">
      <c r="B218" s="135" t="s">
        <v>493</v>
      </c>
      <c r="C218" s="136" t="s">
        <v>384</v>
      </c>
      <c r="D218" s="136" t="s">
        <v>468</v>
      </c>
      <c r="E218" s="137">
        <v>4.5</v>
      </c>
      <c r="F218" s="137" t="s">
        <v>96</v>
      </c>
      <c r="G218" s="138">
        <v>12.5</v>
      </c>
      <c r="H218" s="139">
        <v>3.3</v>
      </c>
      <c r="I218" s="140">
        <v>14</v>
      </c>
      <c r="J218" s="139">
        <v>2.9</v>
      </c>
      <c r="K218" s="141" t="s">
        <v>426</v>
      </c>
      <c r="L218" s="137" t="s">
        <v>493</v>
      </c>
      <c r="M218" s="142">
        <v>18</v>
      </c>
      <c r="N218" s="135" t="s">
        <v>211</v>
      </c>
      <c r="O218" s="143"/>
    </row>
    <row r="219" spans="2:15" s="135" customFormat="1" ht="15" customHeight="1" x14ac:dyDescent="0.2">
      <c r="B219" s="135" t="s">
        <v>493</v>
      </c>
      <c r="C219" s="136" t="s">
        <v>384</v>
      </c>
      <c r="D219" s="136" t="s">
        <v>469</v>
      </c>
      <c r="E219" s="137">
        <v>5</v>
      </c>
      <c r="F219" s="137" t="s">
        <v>96</v>
      </c>
      <c r="G219" s="138">
        <v>14</v>
      </c>
      <c r="H219" s="139">
        <v>3.85</v>
      </c>
      <c r="I219" s="140">
        <v>16</v>
      </c>
      <c r="J219" s="139">
        <v>3.55</v>
      </c>
      <c r="K219" s="141" t="s">
        <v>426</v>
      </c>
      <c r="L219" s="137" t="s">
        <v>493</v>
      </c>
      <c r="M219" s="142">
        <v>18</v>
      </c>
      <c r="N219" s="135" t="s">
        <v>211</v>
      </c>
      <c r="O219" s="143"/>
    </row>
    <row r="220" spans="2:15" s="135" customFormat="1" ht="15" customHeight="1" x14ac:dyDescent="0.2">
      <c r="B220" s="135" t="s">
        <v>493</v>
      </c>
      <c r="C220" s="136" t="s">
        <v>384</v>
      </c>
      <c r="D220" s="136" t="s">
        <v>470</v>
      </c>
      <c r="E220" s="137">
        <v>6</v>
      </c>
      <c r="F220" s="137" t="s">
        <v>96</v>
      </c>
      <c r="G220" s="138">
        <v>15.5</v>
      </c>
      <c r="H220" s="139">
        <v>4.8</v>
      </c>
      <c r="I220" s="140">
        <v>17</v>
      </c>
      <c r="J220" s="139">
        <v>3.9</v>
      </c>
      <c r="K220" s="141" t="s">
        <v>426</v>
      </c>
      <c r="L220" s="137" t="s">
        <v>493</v>
      </c>
      <c r="M220" s="142">
        <v>18</v>
      </c>
      <c r="N220" s="135" t="s">
        <v>211</v>
      </c>
      <c r="O220" s="143"/>
    </row>
    <row r="221" spans="2:15" s="135" customFormat="1" ht="15" customHeight="1" x14ac:dyDescent="0.2">
      <c r="B221" s="135" t="s">
        <v>493</v>
      </c>
      <c r="C221" s="136" t="s">
        <v>384</v>
      </c>
      <c r="D221" s="136" t="s">
        <v>471</v>
      </c>
      <c r="E221" s="137">
        <v>6.5</v>
      </c>
      <c r="F221" s="137" t="s">
        <v>96</v>
      </c>
      <c r="G221" s="138">
        <v>18</v>
      </c>
      <c r="H221" s="139">
        <v>6</v>
      </c>
      <c r="I221" s="140">
        <v>19</v>
      </c>
      <c r="J221" s="139">
        <v>4.3</v>
      </c>
      <c r="K221" s="141" t="s">
        <v>427</v>
      </c>
      <c r="L221" s="137" t="s">
        <v>493</v>
      </c>
      <c r="M221" s="142">
        <v>18</v>
      </c>
      <c r="N221" s="135" t="s">
        <v>211</v>
      </c>
      <c r="O221" s="143"/>
    </row>
    <row r="222" spans="2:15" s="144" customFormat="1" ht="15" customHeight="1" x14ac:dyDescent="0.2">
      <c r="B222" s="144" t="s">
        <v>497</v>
      </c>
      <c r="C222" s="145" t="s">
        <v>384</v>
      </c>
      <c r="D222" s="145" t="s">
        <v>498</v>
      </c>
      <c r="E222" s="146">
        <v>4</v>
      </c>
      <c r="F222" s="146" t="s">
        <v>96</v>
      </c>
      <c r="G222" s="147">
        <v>11.2</v>
      </c>
      <c r="H222" s="148">
        <v>2.92</v>
      </c>
      <c r="I222" s="149">
        <v>12.5</v>
      </c>
      <c r="J222" s="148">
        <v>2.68</v>
      </c>
      <c r="K222" s="150" t="s">
        <v>426</v>
      </c>
      <c r="L222" s="146" t="s">
        <v>497</v>
      </c>
      <c r="M222" s="151">
        <v>15.5</v>
      </c>
      <c r="N222" s="144" t="s">
        <v>211</v>
      </c>
      <c r="O222" s="152"/>
    </row>
    <row r="223" spans="2:15" s="144" customFormat="1" ht="15" customHeight="1" x14ac:dyDescent="0.2">
      <c r="B223" s="144" t="s">
        <v>497</v>
      </c>
      <c r="C223" s="145" t="s">
        <v>384</v>
      </c>
      <c r="D223" s="145" t="s">
        <v>499</v>
      </c>
      <c r="E223" s="146">
        <v>4.5</v>
      </c>
      <c r="F223" s="146" t="s">
        <v>96</v>
      </c>
      <c r="G223" s="147">
        <v>12.5</v>
      </c>
      <c r="H223" s="148">
        <v>3.8</v>
      </c>
      <c r="I223" s="149">
        <v>13.5</v>
      </c>
      <c r="J223" s="148">
        <v>2.9</v>
      </c>
      <c r="K223" s="150" t="s">
        <v>426</v>
      </c>
      <c r="L223" s="146" t="s">
        <v>497</v>
      </c>
      <c r="M223" s="151">
        <v>15.5</v>
      </c>
      <c r="N223" s="144" t="s">
        <v>211</v>
      </c>
      <c r="O223" s="152"/>
    </row>
    <row r="224" spans="2:15" s="144" customFormat="1" ht="15" customHeight="1" x14ac:dyDescent="0.2">
      <c r="B224" s="144" t="s">
        <v>497</v>
      </c>
      <c r="C224" s="145" t="s">
        <v>384</v>
      </c>
      <c r="D224" s="145" t="s">
        <v>500</v>
      </c>
      <c r="E224" s="146">
        <v>5</v>
      </c>
      <c r="F224" s="146" t="s">
        <v>96</v>
      </c>
      <c r="G224" s="147">
        <v>14.2</v>
      </c>
      <c r="H224" s="148">
        <v>4.4000000000000004</v>
      </c>
      <c r="I224" s="149">
        <v>16</v>
      </c>
      <c r="J224" s="148">
        <v>3.55</v>
      </c>
      <c r="K224" s="150" t="s">
        <v>426</v>
      </c>
      <c r="L224" s="146" t="s">
        <v>497</v>
      </c>
      <c r="M224" s="151">
        <v>15.5</v>
      </c>
      <c r="N224" s="144" t="s">
        <v>211</v>
      </c>
      <c r="O224" s="152"/>
    </row>
    <row r="225" spans="2:15" s="144" customFormat="1" ht="15" customHeight="1" x14ac:dyDescent="0.2">
      <c r="B225" s="144" t="s">
        <v>497</v>
      </c>
      <c r="C225" s="145" t="s">
        <v>384</v>
      </c>
      <c r="D225" s="145" t="s">
        <v>501</v>
      </c>
      <c r="E225" s="146">
        <v>6</v>
      </c>
      <c r="F225" s="146" t="s">
        <v>96</v>
      </c>
      <c r="G225" s="147">
        <v>15.5</v>
      </c>
      <c r="H225" s="148">
        <v>4.8499999999999996</v>
      </c>
      <c r="I225" s="149">
        <v>17</v>
      </c>
      <c r="J225" s="148">
        <v>3.9</v>
      </c>
      <c r="K225" s="150" t="s">
        <v>426</v>
      </c>
      <c r="L225" s="146" t="s">
        <v>497</v>
      </c>
      <c r="M225" s="151">
        <v>15.5</v>
      </c>
      <c r="N225" s="144" t="s">
        <v>211</v>
      </c>
      <c r="O225" s="152"/>
    </row>
    <row r="226" spans="2:15" s="55" customFormat="1" ht="15" customHeight="1" x14ac:dyDescent="0.2">
      <c r="B226" s="55" t="s">
        <v>228</v>
      </c>
      <c r="C226" s="56" t="s">
        <v>385</v>
      </c>
      <c r="D226" s="62" t="s">
        <v>227</v>
      </c>
      <c r="E226" s="70">
        <v>3</v>
      </c>
      <c r="F226" s="57" t="s">
        <v>96</v>
      </c>
      <c r="G226" s="63">
        <v>8.4</v>
      </c>
      <c r="H226" s="69">
        <v>1.8</v>
      </c>
      <c r="I226" s="64">
        <v>9.5</v>
      </c>
      <c r="J226" s="69">
        <v>1.8</v>
      </c>
      <c r="K226" s="70" t="s">
        <v>543</v>
      </c>
      <c r="L226" s="57" t="s">
        <v>229</v>
      </c>
      <c r="M226" s="57">
        <v>35</v>
      </c>
      <c r="N226" s="55" t="s">
        <v>211</v>
      </c>
      <c r="O226" s="58"/>
    </row>
    <row r="227" spans="2:15" s="55" customFormat="1" ht="15" customHeight="1" x14ac:dyDescent="0.2">
      <c r="B227" s="55" t="s">
        <v>228</v>
      </c>
      <c r="C227" s="56" t="s">
        <v>385</v>
      </c>
      <c r="D227" s="62" t="s">
        <v>230</v>
      </c>
      <c r="E227" s="70">
        <v>4</v>
      </c>
      <c r="F227" s="57" t="s">
        <v>96</v>
      </c>
      <c r="G227" s="63">
        <v>11.2</v>
      </c>
      <c r="H227" s="69">
        <v>3.05</v>
      </c>
      <c r="I227" s="64">
        <v>12.5</v>
      </c>
      <c r="J227" s="69">
        <v>2.5499999999999998</v>
      </c>
      <c r="K227" s="70" t="s">
        <v>544</v>
      </c>
      <c r="L227" s="57" t="s">
        <v>229</v>
      </c>
      <c r="M227" s="57">
        <v>35</v>
      </c>
      <c r="N227" s="55" t="s">
        <v>211</v>
      </c>
      <c r="O227" s="58"/>
    </row>
    <row r="228" spans="2:15" s="55" customFormat="1" ht="15" customHeight="1" x14ac:dyDescent="0.2">
      <c r="B228" s="55" t="s">
        <v>228</v>
      </c>
      <c r="C228" s="56" t="s">
        <v>385</v>
      </c>
      <c r="D228" s="62" t="s">
        <v>231</v>
      </c>
      <c r="E228" s="70">
        <v>5</v>
      </c>
      <c r="F228" s="57" t="s">
        <v>96</v>
      </c>
      <c r="G228" s="63">
        <v>14</v>
      </c>
      <c r="H228" s="69">
        <v>3.88</v>
      </c>
      <c r="I228" s="64">
        <v>16</v>
      </c>
      <c r="J228" s="69">
        <v>3.5649999999999999</v>
      </c>
      <c r="K228" s="70" t="s">
        <v>545</v>
      </c>
      <c r="L228" s="57" t="s">
        <v>229</v>
      </c>
      <c r="M228" s="57">
        <v>35</v>
      </c>
      <c r="N228" s="55" t="s">
        <v>211</v>
      </c>
      <c r="O228" s="58"/>
    </row>
    <row r="229" spans="2:15" s="55" customFormat="1" ht="15" customHeight="1" x14ac:dyDescent="0.2">
      <c r="B229" s="55" t="s">
        <v>228</v>
      </c>
      <c r="C229" s="56" t="s">
        <v>385</v>
      </c>
      <c r="D229" s="62" t="s">
        <v>232</v>
      </c>
      <c r="E229" s="70">
        <v>6</v>
      </c>
      <c r="F229" s="57" t="s">
        <v>96</v>
      </c>
      <c r="G229" s="63">
        <v>15.6</v>
      </c>
      <c r="H229" s="69">
        <v>4.9050000000000002</v>
      </c>
      <c r="I229" s="64">
        <v>17</v>
      </c>
      <c r="J229" s="69">
        <v>3.9849999999999999</v>
      </c>
      <c r="K229" s="70" t="s">
        <v>544</v>
      </c>
      <c r="L229" s="57" t="s">
        <v>229</v>
      </c>
      <c r="M229" s="57">
        <v>35</v>
      </c>
      <c r="N229" s="55" t="s">
        <v>211</v>
      </c>
      <c r="O229" s="58"/>
    </row>
    <row r="230" spans="2:15" s="55" customFormat="1" ht="15" customHeight="1" x14ac:dyDescent="0.2">
      <c r="B230" s="55" t="s">
        <v>228</v>
      </c>
      <c r="C230" s="56" t="s">
        <v>385</v>
      </c>
      <c r="D230" s="62" t="s">
        <v>233</v>
      </c>
      <c r="E230" s="70">
        <v>4</v>
      </c>
      <c r="F230" s="57" t="s">
        <v>96</v>
      </c>
      <c r="G230" s="63">
        <v>11.2</v>
      </c>
      <c r="H230" s="69"/>
      <c r="I230" s="64">
        <v>12.5</v>
      </c>
      <c r="J230" s="69"/>
      <c r="K230" s="70" t="s">
        <v>546</v>
      </c>
      <c r="L230" s="57" t="s">
        <v>234</v>
      </c>
      <c r="M230" s="57">
        <v>35</v>
      </c>
      <c r="N230" s="55" t="s">
        <v>235</v>
      </c>
      <c r="O230" s="58"/>
    </row>
    <row r="231" spans="2:15" s="55" customFormat="1" ht="15" customHeight="1" x14ac:dyDescent="0.2">
      <c r="B231" s="55" t="s">
        <v>228</v>
      </c>
      <c r="C231" s="56" t="s">
        <v>385</v>
      </c>
      <c r="D231" s="62" t="s">
        <v>236</v>
      </c>
      <c r="E231" s="70">
        <v>5</v>
      </c>
      <c r="F231" s="57" t="s">
        <v>96</v>
      </c>
      <c r="G231" s="63">
        <v>14</v>
      </c>
      <c r="H231" s="69"/>
      <c r="I231" s="64">
        <v>16</v>
      </c>
      <c r="J231" s="69"/>
      <c r="K231" s="70" t="s">
        <v>546</v>
      </c>
      <c r="L231" s="57" t="s">
        <v>234</v>
      </c>
      <c r="M231" s="57">
        <v>35</v>
      </c>
      <c r="N231" s="55" t="s">
        <v>235</v>
      </c>
      <c r="O231" s="58"/>
    </row>
    <row r="232" spans="2:15" s="55" customFormat="1" ht="15" customHeight="1" x14ac:dyDescent="0.2">
      <c r="B232" s="55" t="s">
        <v>228</v>
      </c>
      <c r="C232" s="56" t="s">
        <v>385</v>
      </c>
      <c r="D232" s="62" t="s">
        <v>237</v>
      </c>
      <c r="E232" s="70">
        <v>6</v>
      </c>
      <c r="F232" s="57" t="s">
        <v>96</v>
      </c>
      <c r="G232" s="63">
        <v>15.6</v>
      </c>
      <c r="H232" s="69"/>
      <c r="I232" s="64">
        <v>18</v>
      </c>
      <c r="J232" s="69"/>
      <c r="K232" s="70" t="s">
        <v>546</v>
      </c>
      <c r="L232" s="57" t="s">
        <v>234</v>
      </c>
      <c r="M232" s="57">
        <v>35</v>
      </c>
      <c r="N232" s="55" t="s">
        <v>235</v>
      </c>
      <c r="O232" s="58"/>
    </row>
    <row r="233" spans="2:15" s="55" customFormat="1" ht="15" customHeight="1" x14ac:dyDescent="0.2">
      <c r="B233" s="55" t="s">
        <v>228</v>
      </c>
      <c r="C233" s="56" t="s">
        <v>385</v>
      </c>
      <c r="D233" s="62" t="s">
        <v>238</v>
      </c>
      <c r="E233" s="70">
        <v>6.5</v>
      </c>
      <c r="F233" s="57" t="s">
        <v>96</v>
      </c>
      <c r="G233" s="63">
        <v>18</v>
      </c>
      <c r="H233" s="69">
        <v>5.4450000000000003</v>
      </c>
      <c r="I233" s="64">
        <v>20</v>
      </c>
      <c r="J233" s="69">
        <v>4.9749999999999996</v>
      </c>
      <c r="K233" s="70" t="s">
        <v>547</v>
      </c>
      <c r="L233" s="57" t="s">
        <v>229</v>
      </c>
      <c r="M233" s="57">
        <v>35</v>
      </c>
      <c r="N233" s="55" t="s">
        <v>235</v>
      </c>
      <c r="O233" s="58"/>
    </row>
    <row r="234" spans="2:15" s="55" customFormat="1" ht="15" customHeight="1" x14ac:dyDescent="0.2">
      <c r="B234" s="55" t="s">
        <v>228</v>
      </c>
      <c r="C234" s="56" t="s">
        <v>385</v>
      </c>
      <c r="D234" s="62" t="s">
        <v>239</v>
      </c>
      <c r="E234" s="70">
        <v>7</v>
      </c>
      <c r="F234" s="57" t="s">
        <v>96</v>
      </c>
      <c r="G234" s="63">
        <v>20</v>
      </c>
      <c r="H234" s="69">
        <v>5.9749999999999996</v>
      </c>
      <c r="I234" s="64">
        <v>22.4</v>
      </c>
      <c r="J234" s="69">
        <v>5.27</v>
      </c>
      <c r="K234" s="70" t="s">
        <v>547</v>
      </c>
      <c r="L234" s="57" t="s">
        <v>229</v>
      </c>
      <c r="M234" s="57">
        <v>35</v>
      </c>
      <c r="N234" s="55" t="s">
        <v>235</v>
      </c>
      <c r="O234" s="58"/>
    </row>
    <row r="235" spans="2:15" s="55" customFormat="1" ht="15" customHeight="1" x14ac:dyDescent="0.2">
      <c r="B235" s="55" t="s">
        <v>228</v>
      </c>
      <c r="C235" s="56" t="s">
        <v>385</v>
      </c>
      <c r="D235" s="62" t="s">
        <v>240</v>
      </c>
      <c r="E235" s="70">
        <v>6.5</v>
      </c>
      <c r="F235" s="57" t="s">
        <v>241</v>
      </c>
      <c r="G235" s="63">
        <v>18</v>
      </c>
      <c r="H235" s="69">
        <v>5.29</v>
      </c>
      <c r="I235" s="64">
        <v>20</v>
      </c>
      <c r="J235" s="57">
        <v>4.875</v>
      </c>
      <c r="K235" s="70" t="s">
        <v>547</v>
      </c>
      <c r="L235" s="57" t="s">
        <v>229</v>
      </c>
      <c r="M235" s="57">
        <v>35</v>
      </c>
      <c r="N235" s="55" t="s">
        <v>242</v>
      </c>
      <c r="O235" s="58"/>
    </row>
    <row r="236" spans="2:15" s="55" customFormat="1" ht="15" customHeight="1" x14ac:dyDescent="0.2">
      <c r="B236" s="55" t="s">
        <v>228</v>
      </c>
      <c r="C236" s="56" t="s">
        <v>385</v>
      </c>
      <c r="D236" s="62" t="s">
        <v>243</v>
      </c>
      <c r="E236" s="70">
        <v>7</v>
      </c>
      <c r="F236" s="57" t="s">
        <v>241</v>
      </c>
      <c r="G236" s="63">
        <v>20</v>
      </c>
      <c r="H236" s="69">
        <v>5.9749999999999996</v>
      </c>
      <c r="I236" s="64">
        <v>22.4</v>
      </c>
      <c r="J236" s="57">
        <v>5.27</v>
      </c>
      <c r="K236" s="70" t="s">
        <v>547</v>
      </c>
      <c r="L236" s="57" t="s">
        <v>229</v>
      </c>
      <c r="M236" s="57">
        <v>35</v>
      </c>
      <c r="N236" s="55" t="s">
        <v>242</v>
      </c>
      <c r="O236" s="58"/>
    </row>
    <row r="237" spans="2:15" s="55" customFormat="1" ht="15" customHeight="1" x14ac:dyDescent="0.2">
      <c r="B237" s="55" t="s">
        <v>228</v>
      </c>
      <c r="C237" s="56" t="s">
        <v>385</v>
      </c>
      <c r="D237" s="62" t="s">
        <v>244</v>
      </c>
      <c r="E237" s="70">
        <v>8</v>
      </c>
      <c r="F237" s="57" t="s">
        <v>241</v>
      </c>
      <c r="G237" s="63">
        <v>22.4</v>
      </c>
      <c r="H237" s="69">
        <v>7.09</v>
      </c>
      <c r="I237" s="64">
        <v>25</v>
      </c>
      <c r="J237" s="69">
        <v>5.915</v>
      </c>
      <c r="K237" s="70" t="s">
        <v>547</v>
      </c>
      <c r="L237" s="57" t="s">
        <v>229</v>
      </c>
      <c r="M237" s="57">
        <v>35</v>
      </c>
      <c r="N237" s="55" t="s">
        <v>242</v>
      </c>
      <c r="O237" s="58"/>
    </row>
    <row r="238" spans="2:15" s="55" customFormat="1" ht="15" customHeight="1" x14ac:dyDescent="0.2">
      <c r="B238" s="55" t="s">
        <v>228</v>
      </c>
      <c r="C238" s="56" t="s">
        <v>385</v>
      </c>
      <c r="D238" s="62" t="s">
        <v>245</v>
      </c>
      <c r="E238" s="70">
        <v>9</v>
      </c>
      <c r="F238" s="57" t="s">
        <v>241</v>
      </c>
      <c r="G238" s="63">
        <v>25.2</v>
      </c>
      <c r="H238" s="69">
        <v>8.9600000000000009</v>
      </c>
      <c r="I238" s="64">
        <v>27.5</v>
      </c>
      <c r="J238" s="69">
        <v>6.8</v>
      </c>
      <c r="K238" s="70" t="s">
        <v>547</v>
      </c>
      <c r="L238" s="57" t="s">
        <v>229</v>
      </c>
      <c r="M238" s="57">
        <v>35</v>
      </c>
      <c r="N238" s="55" t="s">
        <v>242</v>
      </c>
      <c r="O238" s="58"/>
    </row>
    <row r="239" spans="2:15" s="55" customFormat="1" ht="15" customHeight="1" x14ac:dyDescent="0.2">
      <c r="B239" s="55" t="s">
        <v>228</v>
      </c>
      <c r="C239" s="56" t="s">
        <v>385</v>
      </c>
      <c r="D239" s="62" t="s">
        <v>246</v>
      </c>
      <c r="E239" s="70">
        <v>10</v>
      </c>
      <c r="F239" s="57" t="s">
        <v>241</v>
      </c>
      <c r="G239" s="63">
        <v>28</v>
      </c>
      <c r="H239" s="69">
        <v>9.99</v>
      </c>
      <c r="I239" s="64">
        <v>28</v>
      </c>
      <c r="J239" s="69">
        <v>6.95</v>
      </c>
      <c r="K239" s="70" t="s">
        <v>547</v>
      </c>
      <c r="L239" s="57" t="s">
        <v>229</v>
      </c>
      <c r="M239" s="57">
        <v>35</v>
      </c>
      <c r="N239" s="55" t="s">
        <v>242</v>
      </c>
      <c r="O239" s="58"/>
    </row>
    <row r="240" spans="2:15" s="55" customFormat="1" ht="15" customHeight="1" x14ac:dyDescent="0.2">
      <c r="B240" s="55" t="s">
        <v>228</v>
      </c>
      <c r="C240" s="56" t="s">
        <v>385</v>
      </c>
      <c r="D240" s="62" t="s">
        <v>247</v>
      </c>
      <c r="E240" s="70">
        <v>11</v>
      </c>
      <c r="F240" s="57" t="s">
        <v>241</v>
      </c>
      <c r="G240" s="63">
        <v>30</v>
      </c>
      <c r="H240" s="69">
        <v>8.7100000000000009</v>
      </c>
      <c r="I240" s="64">
        <v>35</v>
      </c>
      <c r="J240" s="69">
        <v>8.41</v>
      </c>
      <c r="K240" s="70" t="s">
        <v>548</v>
      </c>
      <c r="L240" s="57" t="s">
        <v>229</v>
      </c>
      <c r="M240" s="57">
        <v>35</v>
      </c>
      <c r="N240" s="55" t="s">
        <v>242</v>
      </c>
      <c r="O240" s="58"/>
    </row>
    <row r="241" spans="2:15" s="55" customFormat="1" ht="15" customHeight="1" x14ac:dyDescent="0.2">
      <c r="B241" s="55" t="s">
        <v>228</v>
      </c>
      <c r="C241" s="56" t="s">
        <v>385</v>
      </c>
      <c r="D241" s="62" t="s">
        <v>248</v>
      </c>
      <c r="E241" s="70">
        <v>12</v>
      </c>
      <c r="F241" s="57" t="s">
        <v>241</v>
      </c>
      <c r="G241" s="63">
        <v>33.5</v>
      </c>
      <c r="H241" s="69">
        <v>10.7</v>
      </c>
      <c r="I241" s="64">
        <v>37.5</v>
      </c>
      <c r="J241" s="69">
        <v>9.01</v>
      </c>
      <c r="K241" s="70" t="s">
        <v>548</v>
      </c>
      <c r="L241" s="57" t="s">
        <v>229</v>
      </c>
      <c r="M241" s="57">
        <v>35</v>
      </c>
      <c r="N241" s="55" t="s">
        <v>242</v>
      </c>
      <c r="O241" s="58"/>
    </row>
    <row r="242" spans="2:15" s="55" customFormat="1" ht="15" customHeight="1" x14ac:dyDescent="0.2">
      <c r="B242" s="55" t="s">
        <v>228</v>
      </c>
      <c r="C242" s="56" t="s">
        <v>385</v>
      </c>
      <c r="D242" s="62" t="s">
        <v>249</v>
      </c>
      <c r="E242" s="70">
        <v>13</v>
      </c>
      <c r="F242" s="57" t="s">
        <v>241</v>
      </c>
      <c r="G242" s="63">
        <v>35</v>
      </c>
      <c r="H242" s="69">
        <v>11.04</v>
      </c>
      <c r="I242" s="64">
        <v>38</v>
      </c>
      <c r="J242" s="69">
        <v>9.07</v>
      </c>
      <c r="K242" s="70" t="s">
        <v>548</v>
      </c>
      <c r="L242" s="57" t="s">
        <v>229</v>
      </c>
      <c r="M242" s="57">
        <v>35</v>
      </c>
      <c r="N242" s="55" t="s">
        <v>242</v>
      </c>
      <c r="O242" s="58"/>
    </row>
    <row r="243" spans="2:15" s="55" customFormat="1" ht="15" customHeight="1" x14ac:dyDescent="0.2">
      <c r="B243" s="55" t="s">
        <v>222</v>
      </c>
      <c r="C243" s="56" t="s">
        <v>385</v>
      </c>
      <c r="D243" s="56" t="s">
        <v>221</v>
      </c>
      <c r="E243" s="57">
        <v>4</v>
      </c>
      <c r="F243" s="57" t="s">
        <v>96</v>
      </c>
      <c r="G243" s="59">
        <v>11.2</v>
      </c>
      <c r="H243" s="60">
        <v>2.8450000000000002</v>
      </c>
      <c r="I243" s="61">
        <v>12.5</v>
      </c>
      <c r="J243" s="60">
        <v>2.7</v>
      </c>
      <c r="K243" s="70" t="s">
        <v>549</v>
      </c>
      <c r="L243" s="57" t="s">
        <v>223</v>
      </c>
      <c r="M243" s="57">
        <v>15.5</v>
      </c>
      <c r="N243" s="55" t="s">
        <v>211</v>
      </c>
      <c r="O243" s="58"/>
    </row>
    <row r="244" spans="2:15" s="55" customFormat="1" ht="15" customHeight="1" x14ac:dyDescent="0.2">
      <c r="B244" s="55" t="s">
        <v>222</v>
      </c>
      <c r="C244" s="56" t="s">
        <v>385</v>
      </c>
      <c r="D244" s="56" t="s">
        <v>224</v>
      </c>
      <c r="E244" s="57">
        <v>4.5</v>
      </c>
      <c r="F244" s="57" t="s">
        <v>96</v>
      </c>
      <c r="G244" s="59">
        <v>12.5</v>
      </c>
      <c r="H244" s="60">
        <v>3.45</v>
      </c>
      <c r="I244" s="61">
        <v>14</v>
      </c>
      <c r="J244" s="60">
        <v>3.16</v>
      </c>
      <c r="K244" s="70" t="s">
        <v>549</v>
      </c>
      <c r="L244" s="57" t="s">
        <v>223</v>
      </c>
      <c r="M244" s="57">
        <v>15.5</v>
      </c>
      <c r="N244" s="55" t="s">
        <v>211</v>
      </c>
      <c r="O244" s="58"/>
    </row>
    <row r="245" spans="2:15" s="55" customFormat="1" ht="15" customHeight="1" x14ac:dyDescent="0.2">
      <c r="B245" s="55" t="s">
        <v>222</v>
      </c>
      <c r="C245" s="56" t="s">
        <v>385</v>
      </c>
      <c r="D245" s="56" t="s">
        <v>225</v>
      </c>
      <c r="E245" s="57">
        <v>5</v>
      </c>
      <c r="F245" s="57" t="s">
        <v>96</v>
      </c>
      <c r="G245" s="59">
        <v>14</v>
      </c>
      <c r="H245" s="60">
        <v>3.83</v>
      </c>
      <c r="I245" s="61">
        <v>16</v>
      </c>
      <c r="J245" s="60">
        <v>3.8</v>
      </c>
      <c r="K245" s="70" t="s">
        <v>549</v>
      </c>
      <c r="L245" s="57" t="s">
        <v>223</v>
      </c>
      <c r="M245" s="57">
        <v>15.5</v>
      </c>
      <c r="N245" s="55" t="s">
        <v>211</v>
      </c>
      <c r="O245" s="58"/>
    </row>
    <row r="246" spans="2:15" s="55" customFormat="1" ht="15" customHeight="1" x14ac:dyDescent="0.2">
      <c r="B246" s="55" t="s">
        <v>222</v>
      </c>
      <c r="C246" s="56" t="s">
        <v>385</v>
      </c>
      <c r="D246" s="56" t="s">
        <v>226</v>
      </c>
      <c r="E246" s="57">
        <v>6</v>
      </c>
      <c r="F246" s="57" t="s">
        <v>96</v>
      </c>
      <c r="G246" s="59">
        <v>15.5</v>
      </c>
      <c r="H246" s="60">
        <v>4.9349999999999996</v>
      </c>
      <c r="I246" s="61">
        <v>17</v>
      </c>
      <c r="J246" s="60">
        <v>4.1550000000000002</v>
      </c>
      <c r="K246" s="70" t="s">
        <v>549</v>
      </c>
      <c r="L246" s="57" t="s">
        <v>223</v>
      </c>
      <c r="M246" s="57">
        <v>15.5</v>
      </c>
      <c r="N246" s="55" t="s">
        <v>211</v>
      </c>
      <c r="O246" s="58"/>
    </row>
    <row r="247" spans="2:15" s="55" customFormat="1" ht="15" customHeight="1" x14ac:dyDescent="0.2">
      <c r="B247" s="55" t="s">
        <v>252</v>
      </c>
      <c r="C247" s="56" t="s">
        <v>250</v>
      </c>
      <c r="D247" s="62" t="s">
        <v>251</v>
      </c>
      <c r="E247" s="70">
        <v>8</v>
      </c>
      <c r="F247" s="57"/>
      <c r="G247" s="63">
        <v>24.5</v>
      </c>
      <c r="H247" s="69"/>
      <c r="I247" s="64">
        <v>27</v>
      </c>
      <c r="J247" s="69"/>
      <c r="K247" s="70"/>
      <c r="L247" s="57" t="s">
        <v>253</v>
      </c>
      <c r="M247" s="57">
        <v>113</v>
      </c>
      <c r="N247" s="55" t="s">
        <v>254</v>
      </c>
      <c r="O247" s="58">
        <v>40424</v>
      </c>
    </row>
    <row r="248" spans="2:15" s="55" customFormat="1" ht="15" customHeight="1" x14ac:dyDescent="0.2">
      <c r="B248" s="55" t="s">
        <v>252</v>
      </c>
      <c r="C248" s="56" t="s">
        <v>250</v>
      </c>
      <c r="D248" s="62" t="s">
        <v>255</v>
      </c>
      <c r="E248" s="70">
        <v>10</v>
      </c>
      <c r="F248" s="57"/>
      <c r="G248" s="63">
        <v>28</v>
      </c>
      <c r="H248" s="69"/>
      <c r="I248" s="64">
        <v>31.5</v>
      </c>
      <c r="J248" s="69"/>
      <c r="K248" s="70"/>
      <c r="L248" s="57" t="s">
        <v>253</v>
      </c>
      <c r="M248" s="57">
        <v>113</v>
      </c>
      <c r="N248" s="55" t="s">
        <v>254</v>
      </c>
      <c r="O248" s="58">
        <v>45227</v>
      </c>
    </row>
    <row r="249" spans="2:15" s="55" customFormat="1" ht="15" customHeight="1" x14ac:dyDescent="0.2">
      <c r="B249" s="55" t="s">
        <v>252</v>
      </c>
      <c r="C249" s="56" t="s">
        <v>250</v>
      </c>
      <c r="D249" s="62" t="s">
        <v>256</v>
      </c>
      <c r="E249" s="70">
        <v>12</v>
      </c>
      <c r="F249" s="57"/>
      <c r="G249" s="63">
        <v>33.5</v>
      </c>
      <c r="H249" s="69"/>
      <c r="I249" s="64">
        <v>37.5</v>
      </c>
      <c r="J249" s="69"/>
      <c r="K249" s="70"/>
      <c r="L249" s="57" t="s">
        <v>253</v>
      </c>
      <c r="M249" s="57">
        <v>113</v>
      </c>
      <c r="N249" s="55" t="s">
        <v>254</v>
      </c>
      <c r="O249" s="58">
        <v>53087</v>
      </c>
    </row>
    <row r="250" spans="2:15" s="55" customFormat="1" ht="15" customHeight="1" x14ac:dyDescent="0.2">
      <c r="B250" s="55" t="s">
        <v>252</v>
      </c>
      <c r="C250" s="56" t="s">
        <v>250</v>
      </c>
      <c r="D250" s="62" t="s">
        <v>257</v>
      </c>
      <c r="E250" s="70">
        <v>14</v>
      </c>
      <c r="F250" s="57"/>
      <c r="G250" s="63">
        <v>40</v>
      </c>
      <c r="H250" s="69"/>
      <c r="I250" s="64">
        <v>45</v>
      </c>
      <c r="J250" s="69"/>
      <c r="K250" s="70"/>
      <c r="L250" s="57" t="s">
        <v>253</v>
      </c>
      <c r="M250" s="57">
        <v>113</v>
      </c>
      <c r="N250" s="55" t="s">
        <v>254</v>
      </c>
      <c r="O250" s="58">
        <v>63527</v>
      </c>
    </row>
    <row r="251" spans="2:15" s="55" customFormat="1" ht="15" customHeight="1" x14ac:dyDescent="0.2">
      <c r="B251" s="55" t="s">
        <v>252</v>
      </c>
      <c r="C251" s="56" t="s">
        <v>250</v>
      </c>
      <c r="D251" s="62" t="s">
        <v>258</v>
      </c>
      <c r="E251" s="70">
        <v>16</v>
      </c>
      <c r="F251" s="57"/>
      <c r="G251" s="63">
        <v>45</v>
      </c>
      <c r="H251" s="69"/>
      <c r="I251" s="64">
        <v>50</v>
      </c>
      <c r="J251" s="69"/>
      <c r="K251" s="70"/>
      <c r="L251" s="57" t="s">
        <v>253</v>
      </c>
      <c r="M251" s="57">
        <v>113</v>
      </c>
      <c r="N251" s="55" t="s">
        <v>254</v>
      </c>
      <c r="O251" s="58">
        <v>67550</v>
      </c>
    </row>
    <row r="252" spans="2:15" s="55" customFormat="1" ht="15" customHeight="1" x14ac:dyDescent="0.2">
      <c r="B252" s="55" t="s">
        <v>252</v>
      </c>
      <c r="C252" s="56" t="s">
        <v>250</v>
      </c>
      <c r="D252" s="62" t="s">
        <v>259</v>
      </c>
      <c r="E252" s="70">
        <v>18</v>
      </c>
      <c r="F252" s="57"/>
      <c r="G252" s="63">
        <v>50.4</v>
      </c>
      <c r="H252" s="69"/>
      <c r="I252" s="64">
        <v>56</v>
      </c>
      <c r="J252" s="69"/>
      <c r="K252" s="70"/>
      <c r="L252" s="57" t="s">
        <v>253</v>
      </c>
      <c r="M252" s="57">
        <v>113</v>
      </c>
      <c r="N252" s="55" t="s">
        <v>254</v>
      </c>
      <c r="O252" s="58">
        <v>81807</v>
      </c>
    </row>
    <row r="253" spans="2:15" s="55" customFormat="1" ht="15" customHeight="1" x14ac:dyDescent="0.2">
      <c r="B253" s="55" t="s">
        <v>252</v>
      </c>
      <c r="C253" s="56" t="s">
        <v>250</v>
      </c>
      <c r="D253" s="62" t="s">
        <v>260</v>
      </c>
      <c r="E253" s="70">
        <v>20</v>
      </c>
      <c r="F253" s="57"/>
      <c r="G253" s="63">
        <v>56</v>
      </c>
      <c r="H253" s="69"/>
      <c r="I253" s="64">
        <v>63</v>
      </c>
      <c r="J253" s="69"/>
      <c r="K253" s="70"/>
      <c r="L253" s="57" t="s">
        <v>253</v>
      </c>
      <c r="M253" s="57">
        <v>113</v>
      </c>
      <c r="N253" s="55" t="s">
        <v>254</v>
      </c>
      <c r="O253" s="58">
        <v>87433</v>
      </c>
    </row>
    <row r="254" spans="2:15" s="55" customFormat="1" ht="15" customHeight="1" x14ac:dyDescent="0.2">
      <c r="B254" s="55" t="s">
        <v>252</v>
      </c>
      <c r="C254" s="56" t="s">
        <v>250</v>
      </c>
      <c r="D254" s="62" t="s">
        <v>261</v>
      </c>
      <c r="E254" s="70">
        <v>22</v>
      </c>
      <c r="F254" s="57"/>
      <c r="G254" s="63">
        <v>62.4</v>
      </c>
      <c r="H254" s="69"/>
      <c r="I254" s="64">
        <v>70</v>
      </c>
      <c r="J254" s="69"/>
      <c r="K254" s="70"/>
      <c r="L254" s="57" t="s">
        <v>253</v>
      </c>
      <c r="M254" s="57">
        <v>113</v>
      </c>
      <c r="O254" s="58">
        <f>O248+O249</f>
        <v>98314</v>
      </c>
    </row>
    <row r="255" spans="2:15" s="55" customFormat="1" ht="15" customHeight="1" x14ac:dyDescent="0.2">
      <c r="B255" s="55" t="s">
        <v>252</v>
      </c>
      <c r="C255" s="56" t="s">
        <v>250</v>
      </c>
      <c r="D255" s="62" t="s">
        <v>262</v>
      </c>
      <c r="E255" s="70">
        <v>24</v>
      </c>
      <c r="F255" s="57"/>
      <c r="G255" s="63">
        <v>68</v>
      </c>
      <c r="H255" s="69"/>
      <c r="I255" s="64">
        <v>76.5</v>
      </c>
      <c r="J255" s="69"/>
      <c r="K255" s="70"/>
      <c r="L255" s="57" t="s">
        <v>253</v>
      </c>
      <c r="M255" s="57">
        <v>113</v>
      </c>
      <c r="O255" s="58">
        <f>O249+O249</f>
        <v>106174</v>
      </c>
    </row>
    <row r="256" spans="2:15" s="55" customFormat="1" ht="15" customHeight="1" x14ac:dyDescent="0.2">
      <c r="B256" s="55" t="s">
        <v>252</v>
      </c>
      <c r="C256" s="56" t="s">
        <v>250</v>
      </c>
      <c r="D256" s="62" t="s">
        <v>263</v>
      </c>
      <c r="E256" s="70">
        <v>26</v>
      </c>
      <c r="F256" s="57"/>
      <c r="G256" s="63">
        <v>73.5</v>
      </c>
      <c r="H256" s="69"/>
      <c r="I256" s="64">
        <v>82.5</v>
      </c>
      <c r="J256" s="69"/>
      <c r="K256" s="70"/>
      <c r="L256" s="57" t="s">
        <v>253</v>
      </c>
      <c r="M256" s="57">
        <v>113</v>
      </c>
      <c r="O256" s="58">
        <f>O249+O250</f>
        <v>116614</v>
      </c>
    </row>
    <row r="257" spans="2:15" s="55" customFormat="1" ht="15" customHeight="1" x14ac:dyDescent="0.2">
      <c r="B257" s="55" t="s">
        <v>252</v>
      </c>
      <c r="C257" s="56" t="s">
        <v>250</v>
      </c>
      <c r="D257" s="62" t="s">
        <v>264</v>
      </c>
      <c r="E257" s="70">
        <v>28</v>
      </c>
      <c r="F257" s="57"/>
      <c r="G257" s="63">
        <v>80</v>
      </c>
      <c r="H257" s="69"/>
      <c r="I257" s="64">
        <v>90</v>
      </c>
      <c r="J257" s="69"/>
      <c r="K257" s="70"/>
      <c r="L257" s="57" t="s">
        <v>253</v>
      </c>
      <c r="M257" s="57">
        <v>113</v>
      </c>
      <c r="O257" s="58">
        <f>O250+O250</f>
        <v>127054</v>
      </c>
    </row>
    <row r="258" spans="2:15" s="55" customFormat="1" ht="15" customHeight="1" x14ac:dyDescent="0.2">
      <c r="B258" s="55" t="s">
        <v>252</v>
      </c>
      <c r="C258" s="56" t="s">
        <v>250</v>
      </c>
      <c r="D258" s="62" t="s">
        <v>265</v>
      </c>
      <c r="E258" s="70">
        <v>30</v>
      </c>
      <c r="F258" s="57"/>
      <c r="G258" s="63">
        <v>85</v>
      </c>
      <c r="H258" s="69"/>
      <c r="I258" s="64">
        <v>95</v>
      </c>
      <c r="J258" s="69"/>
      <c r="K258" s="70"/>
      <c r="L258" s="57" t="s">
        <v>253</v>
      </c>
      <c r="M258" s="57">
        <v>113</v>
      </c>
      <c r="O258" s="58">
        <f>O250+O251</f>
        <v>131077</v>
      </c>
    </row>
    <row r="259" spans="2:15" s="55" customFormat="1" ht="15" customHeight="1" x14ac:dyDescent="0.2">
      <c r="B259" s="55" t="s">
        <v>252</v>
      </c>
      <c r="C259" s="56" t="s">
        <v>250</v>
      </c>
      <c r="D259" s="62" t="s">
        <v>266</v>
      </c>
      <c r="E259" s="70">
        <v>32</v>
      </c>
      <c r="F259" s="57"/>
      <c r="G259" s="63">
        <v>90</v>
      </c>
      <c r="H259" s="69"/>
      <c r="I259" s="64">
        <v>100</v>
      </c>
      <c r="J259" s="69"/>
      <c r="K259" s="70"/>
      <c r="L259" s="57" t="s">
        <v>253</v>
      </c>
      <c r="M259" s="57">
        <v>113</v>
      </c>
      <c r="O259" s="58">
        <f>O251+O251</f>
        <v>135100</v>
      </c>
    </row>
    <row r="260" spans="2:15" s="55" customFormat="1" ht="15" customHeight="1" x14ac:dyDescent="0.2">
      <c r="B260" s="55" t="s">
        <v>252</v>
      </c>
      <c r="C260" s="56" t="s">
        <v>250</v>
      </c>
      <c r="D260" s="62" t="s">
        <v>267</v>
      </c>
      <c r="E260" s="70">
        <v>34</v>
      </c>
      <c r="F260" s="57"/>
      <c r="G260" s="63">
        <v>96</v>
      </c>
      <c r="H260" s="69"/>
      <c r="I260" s="64">
        <v>108</v>
      </c>
      <c r="J260" s="69"/>
      <c r="K260" s="70"/>
      <c r="L260" s="57" t="s">
        <v>253</v>
      </c>
      <c r="M260" s="57">
        <v>113</v>
      </c>
      <c r="O260" s="58">
        <f>O250+O253</f>
        <v>150960</v>
      </c>
    </row>
    <row r="261" spans="2:15" s="55" customFormat="1" ht="15" customHeight="1" x14ac:dyDescent="0.2">
      <c r="B261" s="55" t="s">
        <v>252</v>
      </c>
      <c r="C261" s="56" t="s">
        <v>250</v>
      </c>
      <c r="D261" s="62" t="s">
        <v>268</v>
      </c>
      <c r="E261" s="70">
        <v>36</v>
      </c>
      <c r="F261" s="57"/>
      <c r="G261" s="63">
        <v>101</v>
      </c>
      <c r="H261" s="69"/>
      <c r="I261" s="64">
        <v>113</v>
      </c>
      <c r="J261" s="69"/>
      <c r="K261" s="70"/>
      <c r="L261" s="57" t="s">
        <v>253</v>
      </c>
      <c r="M261" s="57">
        <v>113</v>
      </c>
      <c r="O261" s="58">
        <f>O251+O253</f>
        <v>154983</v>
      </c>
    </row>
    <row r="262" spans="2:15" s="55" customFormat="1" ht="15" customHeight="1" x14ac:dyDescent="0.2">
      <c r="B262" s="55" t="s">
        <v>252</v>
      </c>
      <c r="C262" s="56" t="s">
        <v>250</v>
      </c>
      <c r="D262" s="62" t="s">
        <v>269</v>
      </c>
      <c r="E262" s="70">
        <v>38</v>
      </c>
      <c r="F262" s="57"/>
      <c r="G262" s="63">
        <v>107</v>
      </c>
      <c r="H262" s="69"/>
      <c r="I262" s="64">
        <v>119</v>
      </c>
      <c r="J262" s="69"/>
      <c r="K262" s="70"/>
      <c r="L262" s="57" t="s">
        <v>253</v>
      </c>
      <c r="M262" s="57">
        <v>113</v>
      </c>
      <c r="O262" s="58">
        <f>O252+O253</f>
        <v>169240</v>
      </c>
    </row>
    <row r="263" spans="2:15" s="55" customFormat="1" ht="15" customHeight="1" x14ac:dyDescent="0.2">
      <c r="B263" s="55" t="s">
        <v>252</v>
      </c>
      <c r="C263" s="56" t="s">
        <v>250</v>
      </c>
      <c r="D263" s="62" t="s">
        <v>270</v>
      </c>
      <c r="E263" s="70">
        <v>40</v>
      </c>
      <c r="F263" s="57"/>
      <c r="G263" s="63">
        <v>113</v>
      </c>
      <c r="H263" s="69"/>
      <c r="I263" s="64">
        <v>127</v>
      </c>
      <c r="J263" s="69"/>
      <c r="K263" s="70"/>
      <c r="L263" s="57" t="s">
        <v>253</v>
      </c>
      <c r="M263" s="57">
        <v>113</v>
      </c>
      <c r="O263" s="58">
        <f>O253+O253</f>
        <v>174866</v>
      </c>
    </row>
    <row r="264" spans="2:15" s="55" customFormat="1" ht="15" customHeight="1" x14ac:dyDescent="0.2">
      <c r="B264" s="55" t="s">
        <v>273</v>
      </c>
      <c r="C264" s="56" t="s">
        <v>271</v>
      </c>
      <c r="D264" s="62" t="s">
        <v>272</v>
      </c>
      <c r="E264" s="70">
        <v>8</v>
      </c>
      <c r="F264" s="57"/>
      <c r="G264" s="63">
        <v>25.2</v>
      </c>
      <c r="H264" s="69"/>
      <c r="I264" s="64">
        <v>27.5</v>
      </c>
      <c r="J264" s="69"/>
      <c r="K264" s="70"/>
      <c r="L264" s="57" t="s">
        <v>274</v>
      </c>
      <c r="M264" s="57">
        <v>113</v>
      </c>
      <c r="O264" s="58"/>
    </row>
    <row r="265" spans="2:15" s="55" customFormat="1" ht="15" customHeight="1" x14ac:dyDescent="0.2">
      <c r="B265" s="55" t="s">
        <v>273</v>
      </c>
      <c r="C265" s="56" t="s">
        <v>271</v>
      </c>
      <c r="D265" s="62" t="s">
        <v>275</v>
      </c>
      <c r="E265" s="70">
        <v>10</v>
      </c>
      <c r="F265" s="57"/>
      <c r="G265" s="63">
        <v>28</v>
      </c>
      <c r="H265" s="69"/>
      <c r="I265" s="64">
        <v>31.5</v>
      </c>
      <c r="J265" s="69"/>
      <c r="K265" s="70"/>
      <c r="L265" s="57" t="s">
        <v>274</v>
      </c>
      <c r="M265" s="57">
        <v>113</v>
      </c>
      <c r="O265" s="58"/>
    </row>
    <row r="266" spans="2:15" s="55" customFormat="1" ht="15" customHeight="1" x14ac:dyDescent="0.2">
      <c r="B266" s="55" t="s">
        <v>273</v>
      </c>
      <c r="C266" s="56" t="s">
        <v>271</v>
      </c>
      <c r="D266" s="62" t="s">
        <v>276</v>
      </c>
      <c r="E266" s="70">
        <v>12</v>
      </c>
      <c r="F266" s="57"/>
      <c r="G266" s="63">
        <v>33.5</v>
      </c>
      <c r="H266" s="69"/>
      <c r="I266" s="64">
        <v>37.5</v>
      </c>
      <c r="J266" s="69"/>
      <c r="K266" s="70"/>
      <c r="L266" s="57" t="s">
        <v>274</v>
      </c>
      <c r="M266" s="57">
        <v>113</v>
      </c>
      <c r="O266" s="58"/>
    </row>
    <row r="267" spans="2:15" s="55" customFormat="1" ht="15" customHeight="1" x14ac:dyDescent="0.2">
      <c r="B267" s="55" t="s">
        <v>273</v>
      </c>
      <c r="C267" s="56" t="s">
        <v>271</v>
      </c>
      <c r="D267" s="62" t="s">
        <v>277</v>
      </c>
      <c r="E267" s="70">
        <v>14</v>
      </c>
      <c r="F267" s="57"/>
      <c r="G267" s="63">
        <v>40</v>
      </c>
      <c r="H267" s="69"/>
      <c r="I267" s="64">
        <v>45</v>
      </c>
      <c r="J267" s="69"/>
      <c r="K267" s="70"/>
      <c r="L267" s="57" t="s">
        <v>274</v>
      </c>
      <c r="M267" s="57">
        <v>113</v>
      </c>
      <c r="O267" s="58"/>
    </row>
    <row r="268" spans="2:15" s="55" customFormat="1" ht="15" customHeight="1" x14ac:dyDescent="0.2">
      <c r="B268" s="55" t="s">
        <v>273</v>
      </c>
      <c r="C268" s="56" t="s">
        <v>271</v>
      </c>
      <c r="D268" s="62" t="s">
        <v>278</v>
      </c>
      <c r="E268" s="70">
        <v>16</v>
      </c>
      <c r="F268" s="57"/>
      <c r="G268" s="63">
        <v>45</v>
      </c>
      <c r="H268" s="69"/>
      <c r="I268" s="64">
        <v>50</v>
      </c>
      <c r="J268" s="69"/>
      <c r="K268" s="70"/>
      <c r="L268" s="57" t="s">
        <v>274</v>
      </c>
      <c r="M268" s="57">
        <v>113</v>
      </c>
      <c r="O268" s="58"/>
    </row>
    <row r="269" spans="2:15" s="55" customFormat="1" ht="15" customHeight="1" x14ac:dyDescent="0.2">
      <c r="B269" s="55" t="s">
        <v>273</v>
      </c>
      <c r="C269" s="56" t="s">
        <v>271</v>
      </c>
      <c r="D269" s="62" t="s">
        <v>279</v>
      </c>
      <c r="E269" s="70">
        <v>18</v>
      </c>
      <c r="F269" s="57"/>
      <c r="G269" s="63">
        <v>50.4</v>
      </c>
      <c r="H269" s="69"/>
      <c r="I269" s="64">
        <v>56</v>
      </c>
      <c r="J269" s="69"/>
      <c r="K269" s="70"/>
      <c r="L269" s="57" t="s">
        <v>274</v>
      </c>
      <c r="M269" s="57">
        <v>113</v>
      </c>
      <c r="O269" s="58"/>
    </row>
    <row r="270" spans="2:15" s="55" customFormat="1" ht="15" customHeight="1" x14ac:dyDescent="0.2">
      <c r="B270" s="55" t="s">
        <v>273</v>
      </c>
      <c r="C270" s="56" t="s">
        <v>271</v>
      </c>
      <c r="D270" s="62" t="s">
        <v>280</v>
      </c>
      <c r="E270" s="70">
        <v>20</v>
      </c>
      <c r="F270" s="57"/>
      <c r="G270" s="63">
        <v>56</v>
      </c>
      <c r="H270" s="69"/>
      <c r="I270" s="64">
        <v>63</v>
      </c>
      <c r="J270" s="69"/>
      <c r="K270" s="70"/>
      <c r="L270" s="57" t="s">
        <v>274</v>
      </c>
      <c r="M270" s="57">
        <v>113</v>
      </c>
      <c r="O270" s="58"/>
    </row>
    <row r="271" spans="2:15" s="55" customFormat="1" ht="15" customHeight="1" x14ac:dyDescent="0.2">
      <c r="B271" s="55" t="s">
        <v>273</v>
      </c>
      <c r="C271" s="56" t="s">
        <v>271</v>
      </c>
      <c r="D271" s="62" t="s">
        <v>281</v>
      </c>
      <c r="E271" s="70">
        <v>22</v>
      </c>
      <c r="F271" s="57"/>
      <c r="G271" s="63">
        <v>62.4</v>
      </c>
      <c r="H271" s="69"/>
      <c r="I271" s="64">
        <v>70</v>
      </c>
      <c r="J271" s="69"/>
      <c r="K271" s="70"/>
      <c r="L271" s="57" t="s">
        <v>274</v>
      </c>
      <c r="M271" s="57">
        <v>113</v>
      </c>
      <c r="O271" s="58"/>
    </row>
    <row r="272" spans="2:15" s="55" customFormat="1" ht="15" customHeight="1" x14ac:dyDescent="0.2">
      <c r="B272" s="55" t="s">
        <v>273</v>
      </c>
      <c r="C272" s="56" t="s">
        <v>271</v>
      </c>
      <c r="D272" s="62" t="s">
        <v>282</v>
      </c>
      <c r="E272" s="70">
        <v>24</v>
      </c>
      <c r="F272" s="57"/>
      <c r="G272" s="63">
        <v>68</v>
      </c>
      <c r="H272" s="69"/>
      <c r="I272" s="64">
        <v>76.5</v>
      </c>
      <c r="J272" s="69"/>
      <c r="K272" s="70"/>
      <c r="L272" s="57" t="s">
        <v>274</v>
      </c>
      <c r="M272" s="57">
        <v>113</v>
      </c>
      <c r="O272" s="58"/>
    </row>
    <row r="273" spans="1:16" s="55" customFormat="1" ht="15" customHeight="1" x14ac:dyDescent="0.2">
      <c r="B273" s="55" t="s">
        <v>273</v>
      </c>
      <c r="C273" s="56" t="s">
        <v>271</v>
      </c>
      <c r="D273" s="62" t="s">
        <v>283</v>
      </c>
      <c r="E273" s="70">
        <v>26</v>
      </c>
      <c r="F273" s="57"/>
      <c r="G273" s="63">
        <v>73.5</v>
      </c>
      <c r="H273" s="69"/>
      <c r="I273" s="64">
        <v>82.5</v>
      </c>
      <c r="J273" s="69"/>
      <c r="K273" s="70"/>
      <c r="L273" s="57" t="s">
        <v>274</v>
      </c>
      <c r="M273" s="57">
        <v>113</v>
      </c>
      <c r="O273" s="58"/>
    </row>
    <row r="274" spans="1:16" s="55" customFormat="1" ht="15" customHeight="1" x14ac:dyDescent="0.2">
      <c r="B274" s="55" t="s">
        <v>273</v>
      </c>
      <c r="C274" s="56" t="s">
        <v>271</v>
      </c>
      <c r="D274" s="62" t="s">
        <v>284</v>
      </c>
      <c r="E274" s="70">
        <v>28</v>
      </c>
      <c r="F274" s="57"/>
      <c r="G274" s="63">
        <v>80</v>
      </c>
      <c r="H274" s="69"/>
      <c r="I274" s="64">
        <v>90</v>
      </c>
      <c r="J274" s="69"/>
      <c r="K274" s="70"/>
      <c r="L274" s="57" t="s">
        <v>274</v>
      </c>
      <c r="M274" s="57">
        <v>113</v>
      </c>
      <c r="O274" s="58"/>
    </row>
    <row r="275" spans="1:16" s="55" customFormat="1" ht="15" customHeight="1" x14ac:dyDescent="0.2">
      <c r="B275" s="55" t="s">
        <v>273</v>
      </c>
      <c r="C275" s="56" t="s">
        <v>271</v>
      </c>
      <c r="D275" s="62" t="s">
        <v>285</v>
      </c>
      <c r="E275" s="70">
        <v>30</v>
      </c>
      <c r="F275" s="57"/>
      <c r="G275" s="63">
        <v>85</v>
      </c>
      <c r="H275" s="69"/>
      <c r="I275" s="64">
        <v>95</v>
      </c>
      <c r="J275" s="69"/>
      <c r="K275" s="70"/>
      <c r="L275" s="57" t="s">
        <v>274</v>
      </c>
      <c r="M275" s="57">
        <v>113</v>
      </c>
      <c r="O275" s="58"/>
    </row>
    <row r="276" spans="1:16" s="55" customFormat="1" ht="15" customHeight="1" x14ac:dyDescent="0.2">
      <c r="B276" s="55" t="s">
        <v>273</v>
      </c>
      <c r="C276" s="56" t="s">
        <v>271</v>
      </c>
      <c r="D276" s="62" t="s">
        <v>286</v>
      </c>
      <c r="E276" s="70">
        <v>32</v>
      </c>
      <c r="F276" s="57"/>
      <c r="G276" s="63">
        <v>90</v>
      </c>
      <c r="H276" s="69"/>
      <c r="I276" s="64">
        <v>100</v>
      </c>
      <c r="J276" s="69"/>
      <c r="K276" s="70"/>
      <c r="L276" s="57" t="s">
        <v>274</v>
      </c>
      <c r="M276" s="57">
        <v>113</v>
      </c>
      <c r="O276" s="58"/>
    </row>
    <row r="277" spans="1:16" s="55" customFormat="1" ht="15" customHeight="1" x14ac:dyDescent="0.2">
      <c r="B277" s="55" t="s">
        <v>273</v>
      </c>
      <c r="C277" s="56" t="s">
        <v>271</v>
      </c>
      <c r="D277" s="62" t="s">
        <v>287</v>
      </c>
      <c r="E277" s="70">
        <v>34</v>
      </c>
      <c r="F277" s="57"/>
      <c r="G277" s="63">
        <v>96</v>
      </c>
      <c r="H277" s="69"/>
      <c r="I277" s="64">
        <v>108</v>
      </c>
      <c r="J277" s="69"/>
      <c r="K277" s="70"/>
      <c r="L277" s="57" t="s">
        <v>274</v>
      </c>
      <c r="M277" s="57">
        <v>113</v>
      </c>
      <c r="O277" s="58"/>
    </row>
    <row r="278" spans="1:16" s="55" customFormat="1" ht="15" customHeight="1" x14ac:dyDescent="0.2">
      <c r="B278" s="55" t="s">
        <v>273</v>
      </c>
      <c r="C278" s="56" t="s">
        <v>271</v>
      </c>
      <c r="D278" s="62" t="s">
        <v>288</v>
      </c>
      <c r="E278" s="70">
        <v>36</v>
      </c>
      <c r="F278" s="57"/>
      <c r="G278" s="63">
        <v>101</v>
      </c>
      <c r="H278" s="69"/>
      <c r="I278" s="64">
        <v>113</v>
      </c>
      <c r="J278" s="69"/>
      <c r="K278" s="70"/>
      <c r="L278" s="57" t="s">
        <v>274</v>
      </c>
      <c r="M278" s="57">
        <v>113</v>
      </c>
      <c r="O278" s="58"/>
    </row>
    <row r="279" spans="1:16" s="55" customFormat="1" ht="15" customHeight="1" x14ac:dyDescent="0.2">
      <c r="B279" s="55" t="s">
        <v>273</v>
      </c>
      <c r="C279" s="56" t="s">
        <v>271</v>
      </c>
      <c r="D279" s="62" t="s">
        <v>289</v>
      </c>
      <c r="E279" s="70">
        <v>38</v>
      </c>
      <c r="F279" s="57"/>
      <c r="G279" s="63">
        <v>107</v>
      </c>
      <c r="H279" s="69"/>
      <c r="I279" s="64">
        <v>119</v>
      </c>
      <c r="J279" s="69"/>
      <c r="K279" s="70"/>
      <c r="L279" s="57" t="s">
        <v>274</v>
      </c>
      <c r="M279" s="57">
        <v>113</v>
      </c>
      <c r="O279" s="58"/>
    </row>
    <row r="280" spans="1:16" s="55" customFormat="1" ht="15" customHeight="1" x14ac:dyDescent="0.2">
      <c r="B280" s="55" t="s">
        <v>273</v>
      </c>
      <c r="C280" s="56" t="s">
        <v>271</v>
      </c>
      <c r="D280" s="62" t="s">
        <v>290</v>
      </c>
      <c r="E280" s="70">
        <v>40</v>
      </c>
      <c r="F280" s="57"/>
      <c r="G280" s="63">
        <v>113</v>
      </c>
      <c r="H280" s="69"/>
      <c r="I280" s="64">
        <v>127</v>
      </c>
      <c r="J280" s="69"/>
      <c r="K280" s="70"/>
      <c r="L280" s="57" t="s">
        <v>274</v>
      </c>
      <c r="M280" s="57">
        <v>113</v>
      </c>
      <c r="O280" s="58"/>
    </row>
    <row r="281" spans="1:16" s="55" customFormat="1" ht="15" customHeight="1" x14ac:dyDescent="0.2">
      <c r="A281" s="72" t="s">
        <v>291</v>
      </c>
      <c r="B281" s="73"/>
      <c r="C281" s="74"/>
      <c r="D281" s="62"/>
      <c r="E281" s="70"/>
      <c r="F281" s="57"/>
      <c r="G281" s="63"/>
      <c r="H281" s="69"/>
      <c r="I281" s="64"/>
      <c r="J281" s="69"/>
      <c r="K281" s="70"/>
      <c r="L281" s="57"/>
      <c r="M281" s="57"/>
      <c r="N281" s="72"/>
      <c r="O281" s="58"/>
    </row>
    <row r="282" spans="1:16" ht="15" customHeight="1" x14ac:dyDescent="0.2">
      <c r="C282" s="75" t="s">
        <v>292</v>
      </c>
      <c r="D282" s="62" t="s">
        <v>293</v>
      </c>
      <c r="E282" s="70">
        <v>6</v>
      </c>
      <c r="F282" s="57" t="s">
        <v>96</v>
      </c>
      <c r="G282" s="63"/>
      <c r="H282" s="70"/>
      <c r="I282" s="64">
        <v>16</v>
      </c>
      <c r="J282" s="69">
        <v>0.15</v>
      </c>
      <c r="K282" s="70" t="s">
        <v>550</v>
      </c>
      <c r="L282" s="70" t="s">
        <v>294</v>
      </c>
      <c r="M282" s="70"/>
      <c r="O282" s="58">
        <v>17292</v>
      </c>
    </row>
    <row r="283" spans="1:16" ht="15" customHeight="1" x14ac:dyDescent="0.2">
      <c r="C283" s="75" t="s">
        <v>295</v>
      </c>
      <c r="D283" s="62" t="s">
        <v>296</v>
      </c>
      <c r="E283" s="70">
        <v>6</v>
      </c>
      <c r="F283" s="57" t="s">
        <v>96</v>
      </c>
      <c r="G283" s="63"/>
      <c r="H283" s="70"/>
      <c r="I283" s="64">
        <v>16</v>
      </c>
      <c r="J283" s="69">
        <v>0.15</v>
      </c>
      <c r="K283" s="70" t="s">
        <v>550</v>
      </c>
      <c r="L283" s="70" t="s">
        <v>297</v>
      </c>
      <c r="M283" s="70"/>
      <c r="O283" s="58">
        <v>19110</v>
      </c>
    </row>
    <row r="284" spans="1:16" ht="15" customHeight="1" x14ac:dyDescent="0.2">
      <c r="C284" s="75" t="s">
        <v>292</v>
      </c>
      <c r="D284" s="62" t="s">
        <v>298</v>
      </c>
      <c r="E284" s="70">
        <v>8</v>
      </c>
      <c r="F284" s="57" t="s">
        <v>96</v>
      </c>
      <c r="H284" s="70"/>
      <c r="I284" s="64">
        <v>22.4</v>
      </c>
      <c r="J284" s="69">
        <v>0.19</v>
      </c>
      <c r="K284" s="70" t="s">
        <v>550</v>
      </c>
      <c r="L284" s="70" t="s">
        <v>294</v>
      </c>
      <c r="M284" s="70"/>
      <c r="O284" s="58">
        <v>19804</v>
      </c>
      <c r="P284" s="77"/>
    </row>
    <row r="285" spans="1:16" ht="15" customHeight="1" x14ac:dyDescent="0.2">
      <c r="C285" s="75" t="s">
        <v>295</v>
      </c>
      <c r="D285" s="62" t="s">
        <v>299</v>
      </c>
      <c r="E285" s="70">
        <v>8</v>
      </c>
      <c r="F285" s="57" t="s">
        <v>96</v>
      </c>
      <c r="G285" s="63"/>
      <c r="H285" s="70"/>
      <c r="I285" s="64">
        <v>22.4</v>
      </c>
      <c r="J285" s="69">
        <v>0.19</v>
      </c>
      <c r="K285" s="70" t="s">
        <v>550</v>
      </c>
      <c r="L285" s="70" t="s">
        <v>297</v>
      </c>
      <c r="M285" s="70"/>
      <c r="O285" s="58">
        <v>21633</v>
      </c>
    </row>
    <row r="286" spans="1:16" ht="15" customHeight="1" x14ac:dyDescent="0.2">
      <c r="C286" s="75" t="s">
        <v>292</v>
      </c>
      <c r="D286" s="62" t="s">
        <v>300</v>
      </c>
      <c r="E286" s="70">
        <v>10</v>
      </c>
      <c r="F286" s="57" t="s">
        <v>96</v>
      </c>
      <c r="G286" s="63"/>
      <c r="H286" s="70"/>
      <c r="I286" s="64">
        <v>28</v>
      </c>
      <c r="J286" s="69">
        <v>0.2</v>
      </c>
      <c r="K286" s="70" t="s">
        <v>550</v>
      </c>
      <c r="L286" s="70" t="s">
        <v>294</v>
      </c>
      <c r="M286" s="70"/>
      <c r="O286" s="58">
        <v>22340</v>
      </c>
      <c r="P286" s="77"/>
    </row>
    <row r="287" spans="1:16" ht="15" customHeight="1" x14ac:dyDescent="0.2">
      <c r="C287" s="75" t="s">
        <v>295</v>
      </c>
      <c r="D287" s="62" t="s">
        <v>301</v>
      </c>
      <c r="E287" s="70">
        <v>10</v>
      </c>
      <c r="F287" s="57" t="s">
        <v>96</v>
      </c>
      <c r="G287" s="63"/>
      <c r="H287" s="70"/>
      <c r="I287" s="64">
        <v>28</v>
      </c>
      <c r="J287" s="69">
        <v>0.2</v>
      </c>
      <c r="K287" s="70" t="s">
        <v>550</v>
      </c>
      <c r="L287" s="70" t="s">
        <v>297</v>
      </c>
      <c r="M287" s="70"/>
      <c r="O287" s="58">
        <v>24156</v>
      </c>
    </row>
    <row r="288" spans="1:16" ht="15" customHeight="1" x14ac:dyDescent="0.2">
      <c r="A288" s="72" t="s">
        <v>409</v>
      </c>
      <c r="C288" s="78" t="s">
        <v>410</v>
      </c>
      <c r="D288" s="79" t="s">
        <v>411</v>
      </c>
      <c r="E288" s="80"/>
      <c r="F288" s="81"/>
      <c r="G288" s="82"/>
      <c r="H288" s="80"/>
      <c r="I288" s="83"/>
      <c r="J288" s="84"/>
      <c r="K288" s="80"/>
      <c r="M288" s="80"/>
      <c r="O288" s="58">
        <v>516</v>
      </c>
      <c r="P288" s="77"/>
    </row>
    <row r="289" spans="3:15" ht="15" customHeight="1" x14ac:dyDescent="0.2">
      <c r="C289" s="78" t="s">
        <v>410</v>
      </c>
      <c r="D289" s="79" t="s">
        <v>412</v>
      </c>
      <c r="E289" s="80"/>
      <c r="F289" s="81"/>
      <c r="G289" s="82"/>
      <c r="H289" s="80"/>
      <c r="I289" s="83"/>
      <c r="J289" s="84"/>
      <c r="K289" s="80"/>
      <c r="M289" s="80"/>
      <c r="O289" s="58">
        <v>652</v>
      </c>
    </row>
    <row r="290" spans="3:15" ht="15" customHeight="1" x14ac:dyDescent="0.2">
      <c r="C290" s="78" t="s">
        <v>410</v>
      </c>
      <c r="D290" s="79" t="s">
        <v>413</v>
      </c>
      <c r="E290" s="80"/>
      <c r="F290" s="81"/>
      <c r="G290" s="82"/>
      <c r="H290" s="80"/>
      <c r="I290" s="83"/>
      <c r="J290" s="84"/>
      <c r="K290" s="80"/>
      <c r="M290" s="80"/>
      <c r="O290" s="58">
        <v>1505</v>
      </c>
    </row>
    <row r="291" spans="3:15" ht="15" customHeight="1" x14ac:dyDescent="0.2">
      <c r="C291" s="78" t="s">
        <v>410</v>
      </c>
      <c r="D291" s="79" t="s">
        <v>414</v>
      </c>
      <c r="E291" s="80"/>
      <c r="F291" s="81"/>
      <c r="G291" s="82"/>
      <c r="H291" s="80"/>
      <c r="I291" s="83"/>
      <c r="J291" s="84"/>
      <c r="K291" s="80"/>
      <c r="M291" s="80"/>
      <c r="O291" s="58">
        <v>1505</v>
      </c>
    </row>
    <row r="292" spans="3:15" ht="15" customHeight="1" x14ac:dyDescent="0.2">
      <c r="C292" s="78" t="s">
        <v>410</v>
      </c>
      <c r="D292" s="79" t="s">
        <v>415</v>
      </c>
      <c r="E292" s="80"/>
      <c r="F292" s="81"/>
      <c r="G292" s="82"/>
      <c r="H292" s="80"/>
      <c r="I292" s="83"/>
      <c r="J292" s="84"/>
      <c r="K292" s="80"/>
      <c r="M292" s="80"/>
      <c r="O292" s="58">
        <v>280</v>
      </c>
    </row>
    <row r="293" spans="3:15" ht="15" customHeight="1" x14ac:dyDescent="0.2">
      <c r="C293" s="78" t="s">
        <v>410</v>
      </c>
      <c r="D293" s="79" t="s">
        <v>416</v>
      </c>
      <c r="E293" s="80"/>
      <c r="F293" s="81"/>
      <c r="G293" s="82"/>
      <c r="H293" s="80"/>
      <c r="I293" s="83"/>
      <c r="J293" s="84"/>
      <c r="K293" s="80"/>
      <c r="M293" s="80"/>
      <c r="O293" s="58">
        <v>599</v>
      </c>
    </row>
    <row r="294" spans="3:15" ht="15" customHeight="1" x14ac:dyDescent="0.2">
      <c r="C294" s="57" t="s">
        <v>302</v>
      </c>
      <c r="D294" s="70" t="s">
        <v>303</v>
      </c>
      <c r="E294" s="70" t="s">
        <v>304</v>
      </c>
      <c r="F294" s="70" t="s">
        <v>305</v>
      </c>
      <c r="G294" s="63" t="s">
        <v>306</v>
      </c>
      <c r="H294" s="70" t="s">
        <v>307</v>
      </c>
      <c r="I294" s="70" t="s">
        <v>308</v>
      </c>
      <c r="J294" s="70" t="s">
        <v>309</v>
      </c>
      <c r="K294" s="70"/>
      <c r="L294" s="57" t="s">
        <v>310</v>
      </c>
      <c r="M294" s="57" t="s">
        <v>311</v>
      </c>
      <c r="N294" s="70"/>
    </row>
    <row r="295" spans="3:15" ht="15" customHeight="1" x14ac:dyDescent="0.2">
      <c r="C295" s="56"/>
      <c r="D295" s="70" t="s">
        <v>312</v>
      </c>
      <c r="E295" s="70" t="s">
        <v>313</v>
      </c>
      <c r="F295" s="70" t="s">
        <v>314</v>
      </c>
      <c r="G295" s="63" t="s">
        <v>315</v>
      </c>
      <c r="H295" s="70" t="s">
        <v>12</v>
      </c>
      <c r="I295" s="70" t="s">
        <v>317</v>
      </c>
      <c r="J295" s="70" t="s">
        <v>317</v>
      </c>
      <c r="K295" s="70"/>
      <c r="L295" s="57"/>
      <c r="M295" s="57"/>
      <c r="N295" s="70"/>
    </row>
    <row r="296" spans="3:15" ht="15" customHeight="1" x14ac:dyDescent="0.2">
      <c r="C296" s="62" t="s">
        <v>318</v>
      </c>
      <c r="D296" s="70" t="s">
        <v>319</v>
      </c>
      <c r="E296" s="70">
        <v>110</v>
      </c>
      <c r="F296" s="70">
        <v>150</v>
      </c>
      <c r="G296" s="63">
        <v>32</v>
      </c>
      <c r="H296" s="70">
        <v>62</v>
      </c>
      <c r="I296" s="70">
        <v>69</v>
      </c>
      <c r="J296" s="70">
        <v>80</v>
      </c>
      <c r="K296" s="70" t="s">
        <v>320</v>
      </c>
      <c r="L296" s="70" t="s">
        <v>321</v>
      </c>
      <c r="M296" s="70">
        <v>500</v>
      </c>
      <c r="N296" s="70"/>
    </row>
    <row r="297" spans="3:15" ht="15" customHeight="1" x14ac:dyDescent="0.2">
      <c r="C297" s="62" t="s">
        <v>318</v>
      </c>
      <c r="D297" s="70" t="s">
        <v>322</v>
      </c>
      <c r="E297" s="70">
        <v>130</v>
      </c>
      <c r="F297" s="70">
        <v>250</v>
      </c>
      <c r="G297" s="63">
        <v>35</v>
      </c>
      <c r="H297" s="70">
        <v>107</v>
      </c>
      <c r="I297" s="70">
        <v>63</v>
      </c>
      <c r="J297" s="70">
        <v>74</v>
      </c>
      <c r="K297" s="70" t="s">
        <v>323</v>
      </c>
      <c r="L297" s="70" t="s">
        <v>321</v>
      </c>
      <c r="M297" s="70">
        <v>500</v>
      </c>
      <c r="N297" s="70"/>
    </row>
    <row r="298" spans="3:15" ht="15" customHeight="1" x14ac:dyDescent="0.2">
      <c r="C298" s="62" t="s">
        <v>318</v>
      </c>
      <c r="D298" s="70" t="s">
        <v>324</v>
      </c>
      <c r="E298" s="70">
        <v>150</v>
      </c>
      <c r="F298" s="70">
        <v>350</v>
      </c>
      <c r="G298" s="63">
        <v>38</v>
      </c>
      <c r="H298" s="70">
        <v>163</v>
      </c>
      <c r="I298" s="70">
        <v>62</v>
      </c>
      <c r="J298" s="70">
        <v>71</v>
      </c>
      <c r="K298" s="70" t="s">
        <v>325</v>
      </c>
      <c r="L298" s="70" t="s">
        <v>321</v>
      </c>
      <c r="M298" s="70">
        <v>500</v>
      </c>
      <c r="N298" s="70"/>
    </row>
    <row r="299" spans="3:15" ht="15" customHeight="1" x14ac:dyDescent="0.2">
      <c r="C299" s="62" t="s">
        <v>318</v>
      </c>
      <c r="D299" s="70" t="s">
        <v>326</v>
      </c>
      <c r="E299" s="70">
        <v>130</v>
      </c>
      <c r="F299" s="70">
        <v>500</v>
      </c>
      <c r="G299" s="63">
        <v>41</v>
      </c>
      <c r="H299" s="70">
        <v>240</v>
      </c>
      <c r="I299" s="70">
        <v>61</v>
      </c>
      <c r="J299" s="70">
        <v>70</v>
      </c>
      <c r="K299" s="70" t="s">
        <v>327</v>
      </c>
      <c r="L299" s="70" t="s">
        <v>321</v>
      </c>
      <c r="M299" s="70">
        <v>500</v>
      </c>
      <c r="N299" s="70"/>
    </row>
    <row r="300" spans="3:15" ht="15" customHeight="1" x14ac:dyDescent="0.2">
      <c r="C300" s="62" t="s">
        <v>328</v>
      </c>
      <c r="D300" s="70" t="s">
        <v>329</v>
      </c>
      <c r="E300" s="70">
        <v>90</v>
      </c>
      <c r="F300" s="70">
        <v>150</v>
      </c>
      <c r="G300" s="63">
        <v>34</v>
      </c>
      <c r="H300" s="70">
        <v>76</v>
      </c>
      <c r="I300" s="70">
        <v>59</v>
      </c>
      <c r="J300" s="70">
        <v>65</v>
      </c>
      <c r="K300" s="70" t="s">
        <v>330</v>
      </c>
      <c r="L300" s="70" t="s">
        <v>331</v>
      </c>
      <c r="M300" s="70">
        <v>350</v>
      </c>
      <c r="N300" s="70"/>
    </row>
    <row r="301" spans="3:15" ht="15" customHeight="1" x14ac:dyDescent="0.2">
      <c r="C301" s="62" t="s">
        <v>328</v>
      </c>
      <c r="D301" s="70" t="s">
        <v>332</v>
      </c>
      <c r="E301" s="70">
        <v>110</v>
      </c>
      <c r="F301" s="70">
        <v>250</v>
      </c>
      <c r="G301" s="63">
        <v>34</v>
      </c>
      <c r="H301" s="70">
        <v>106</v>
      </c>
      <c r="I301" s="70">
        <v>59</v>
      </c>
      <c r="J301" s="70">
        <v>65</v>
      </c>
      <c r="K301" s="70" t="s">
        <v>333</v>
      </c>
      <c r="L301" s="70" t="s">
        <v>331</v>
      </c>
      <c r="M301" s="70">
        <v>350</v>
      </c>
      <c r="N301" s="70"/>
    </row>
    <row r="302" spans="3:15" ht="15" customHeight="1" x14ac:dyDescent="0.2">
      <c r="C302" s="62" t="s">
        <v>328</v>
      </c>
      <c r="D302" s="70" t="s">
        <v>334</v>
      </c>
      <c r="E302" s="70">
        <v>130</v>
      </c>
      <c r="F302" s="70">
        <v>350</v>
      </c>
      <c r="G302" s="63">
        <v>36</v>
      </c>
      <c r="H302" s="70">
        <v>141</v>
      </c>
      <c r="I302" s="70">
        <v>59</v>
      </c>
      <c r="J302" s="70">
        <v>65</v>
      </c>
      <c r="K302" s="70" t="s">
        <v>335</v>
      </c>
      <c r="L302" s="70" t="s">
        <v>331</v>
      </c>
      <c r="M302" s="70">
        <v>350</v>
      </c>
      <c r="N302" s="70"/>
    </row>
    <row r="303" spans="3:15" ht="15" customHeight="1" x14ac:dyDescent="0.2">
      <c r="C303" s="62" t="s">
        <v>336</v>
      </c>
      <c r="D303" s="70" t="s">
        <v>337</v>
      </c>
      <c r="E303" s="70">
        <v>150</v>
      </c>
      <c r="F303" s="70">
        <v>250</v>
      </c>
      <c r="G303" s="63">
        <v>33</v>
      </c>
      <c r="H303" s="70">
        <v>105</v>
      </c>
      <c r="I303" s="70">
        <v>67</v>
      </c>
      <c r="J303" s="70">
        <v>74</v>
      </c>
      <c r="K303" s="70" t="s">
        <v>338</v>
      </c>
      <c r="L303" s="70" t="s">
        <v>339</v>
      </c>
      <c r="M303" s="70">
        <v>500</v>
      </c>
      <c r="N303" s="70"/>
    </row>
    <row r="304" spans="3:15" ht="15" customHeight="1" x14ac:dyDescent="0.2">
      <c r="C304" s="62" t="s">
        <v>336</v>
      </c>
      <c r="D304" s="70" t="s">
        <v>340</v>
      </c>
      <c r="E304" s="70">
        <v>150</v>
      </c>
      <c r="F304" s="70">
        <v>350</v>
      </c>
      <c r="G304" s="63">
        <v>36</v>
      </c>
      <c r="H304" s="70">
        <v>150</v>
      </c>
      <c r="I304" s="70">
        <v>65</v>
      </c>
      <c r="J304" s="70">
        <v>72</v>
      </c>
      <c r="K304" s="70" t="s">
        <v>341</v>
      </c>
      <c r="L304" s="70" t="s">
        <v>339</v>
      </c>
      <c r="M304" s="70">
        <v>500</v>
      </c>
      <c r="N304" s="70"/>
    </row>
    <row r="305" spans="3:14" ht="15" customHeight="1" x14ac:dyDescent="0.2">
      <c r="C305" s="62" t="s">
        <v>336</v>
      </c>
      <c r="D305" s="70" t="s">
        <v>342</v>
      </c>
      <c r="E305" s="70">
        <v>130</v>
      </c>
      <c r="F305" s="70">
        <v>500</v>
      </c>
      <c r="G305" s="63">
        <v>40</v>
      </c>
      <c r="H305" s="70">
        <v>232</v>
      </c>
      <c r="I305" s="70">
        <v>61</v>
      </c>
      <c r="J305" s="70">
        <v>70</v>
      </c>
      <c r="K305" s="70" t="s">
        <v>343</v>
      </c>
      <c r="L305" s="70" t="s">
        <v>339</v>
      </c>
      <c r="M305" s="70">
        <v>500</v>
      </c>
      <c r="N305" s="70"/>
    </row>
    <row r="306" spans="3:14" ht="15" customHeight="1" x14ac:dyDescent="0.2">
      <c r="C306" s="62" t="s">
        <v>344</v>
      </c>
      <c r="D306" s="70" t="s">
        <v>345</v>
      </c>
      <c r="E306" s="70"/>
      <c r="F306" s="70">
        <v>500</v>
      </c>
      <c r="G306" s="63">
        <v>38</v>
      </c>
      <c r="H306" s="70">
        <v>560</v>
      </c>
      <c r="I306" s="70"/>
      <c r="J306" s="70"/>
      <c r="K306" s="70" t="s">
        <v>346</v>
      </c>
      <c r="L306" s="70" t="s">
        <v>347</v>
      </c>
      <c r="M306" s="70">
        <v>500</v>
      </c>
      <c r="N306" s="70"/>
    </row>
    <row r="307" spans="3:14" ht="15" customHeight="1" x14ac:dyDescent="0.2">
      <c r="C307" s="62" t="s">
        <v>344</v>
      </c>
      <c r="D307" s="70" t="s">
        <v>348</v>
      </c>
      <c r="E307" s="70"/>
      <c r="F307" s="70">
        <v>500</v>
      </c>
      <c r="G307" s="63">
        <v>39</v>
      </c>
      <c r="H307" s="70">
        <v>560</v>
      </c>
      <c r="I307" s="70"/>
      <c r="J307" s="70"/>
      <c r="K307" s="70" t="s">
        <v>346</v>
      </c>
      <c r="L307" s="70" t="s">
        <v>349</v>
      </c>
      <c r="M307" s="70">
        <v>500</v>
      </c>
      <c r="N307" s="70"/>
    </row>
    <row r="308" spans="3:14" ht="15" customHeight="1" x14ac:dyDescent="0.2">
      <c r="C308" s="62" t="s">
        <v>344</v>
      </c>
      <c r="D308" s="70" t="s">
        <v>350</v>
      </c>
      <c r="E308" s="70"/>
      <c r="F308" s="70">
        <v>500</v>
      </c>
      <c r="G308" s="63">
        <v>39</v>
      </c>
      <c r="H308" s="70">
        <v>560</v>
      </c>
      <c r="I308" s="70"/>
      <c r="J308" s="70"/>
      <c r="K308" s="70" t="s">
        <v>346</v>
      </c>
      <c r="L308" s="70" t="s">
        <v>351</v>
      </c>
      <c r="M308" s="70">
        <v>500</v>
      </c>
      <c r="N308" s="70"/>
    </row>
    <row r="309" spans="3:14" ht="15" customHeight="1" x14ac:dyDescent="0.2">
      <c r="C309" s="62" t="s">
        <v>352</v>
      </c>
      <c r="D309" s="70" t="s">
        <v>353</v>
      </c>
      <c r="E309" s="70">
        <v>100</v>
      </c>
      <c r="F309" s="70">
        <v>350</v>
      </c>
      <c r="G309" s="63">
        <v>41</v>
      </c>
      <c r="H309" s="70">
        <v>870</v>
      </c>
      <c r="I309" s="70">
        <v>61</v>
      </c>
      <c r="J309" s="70">
        <v>72</v>
      </c>
      <c r="K309" s="70" t="s">
        <v>354</v>
      </c>
      <c r="L309" s="70" t="s">
        <v>355</v>
      </c>
      <c r="M309" s="70">
        <v>400</v>
      </c>
      <c r="N309" s="70"/>
    </row>
  </sheetData>
  <mergeCells count="9">
    <mergeCell ref="K1:K2"/>
    <mergeCell ref="L1:L2"/>
    <mergeCell ref="M1:M2"/>
    <mergeCell ref="C1:C2"/>
    <mergeCell ref="D1:D2"/>
    <mergeCell ref="E1:E2"/>
    <mergeCell ref="F1:F2"/>
    <mergeCell ref="G1:H1"/>
    <mergeCell ref="I1:J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空调报价表</vt:lpstr>
      <vt:lpstr>设备参数表</vt:lpstr>
      <vt:lpstr>空调报价表!Print_Area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陶玉鹏</dc:creator>
  <cp:lastModifiedBy>玉鹏 陶</cp:lastModifiedBy>
  <cp:lastPrinted>2025-07-16T06:00:38Z</cp:lastPrinted>
  <dcterms:created xsi:type="dcterms:W3CDTF">2015-06-05T18:19:34Z</dcterms:created>
  <dcterms:modified xsi:type="dcterms:W3CDTF">2026-05-29T02:44:39Z</dcterms:modified>
</cp:coreProperties>
</file>